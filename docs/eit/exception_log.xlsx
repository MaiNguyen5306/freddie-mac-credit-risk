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 Projects\freddie-mac-credit-risk\docs\eit\"/>
    </mc:Choice>
  </mc:AlternateContent>
  <xr:revisionPtr revIDLastSave="0" documentId="13_ncr:1_{D74A3F76-DFCD-49CD-9A46-3614F362909C}" xr6:coauthVersionLast="47" xr6:coauthVersionMax="47" xr10:uidLastSave="{00000000-0000-0000-0000-000000000000}"/>
  <bookViews>
    <workbookView xWindow="-108" yWindow="-108" windowWidth="18648" windowHeight="11784" activeTab="1" xr2:uid="{00000000-000D-0000-FFFF-FFFF00000000}"/>
  </bookViews>
  <sheets>
    <sheet name="Exception Log" sheetId="1" r:id="rId1"/>
    <sheet name="Summary and Guid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<sst xmlns="http://schemas.openxmlformats.org/spreadsheetml/2006/main" count="121" uniqueCount="97">
  <si>
    <t>Mortgage Data and Credit-Risk Reporting — Exception Log</t>
  </si>
  <si>
    <t>Simulated EIT case study — record observations, scope limitations, exceptions, dispositions, and closure evidence</t>
  </si>
  <si>
    <t>This log does not represent findings against Freddie Mac's internal controls. It documents results from a hypothetical mortgage data-control testing process using public data.</t>
  </si>
  <si>
    <t>Issue ID</t>
  </si>
  <si>
    <t>Classification</t>
  </si>
  <si>
    <t>Severity</t>
  </si>
  <si>
    <t>Status</t>
  </si>
  <si>
    <t>Date Identified</t>
  </si>
  <si>
    <t>Related Test IDs</t>
  </si>
  <si>
    <t>Title</t>
  </si>
  <si>
    <t>Condition</t>
  </si>
  <si>
    <t>Criteria / Expected Result</t>
  </si>
  <si>
    <t>Cause / Explanation</t>
  </si>
  <si>
    <t>Potential Impact</t>
  </si>
  <si>
    <t>Disposition / Recommendation</t>
  </si>
  <si>
    <t>Owner</t>
  </si>
  <si>
    <t>Target Date</t>
  </si>
  <si>
    <t>Evidence Reference</t>
  </si>
  <si>
    <t>Closure Evidence / Notes</t>
  </si>
  <si>
    <t>O-01</t>
  </si>
  <si>
    <t>Observation</t>
  </si>
  <si>
    <t>Low</t>
  </si>
  <si>
    <t>Closed</t>
  </si>
  <si>
    <t>EIT-05; EIT-07</t>
  </si>
  <si>
    <t>Sparse modeling fields</t>
  </si>
  <si>
    <t>VantageScore 4 was unavailable for 100% of the origination population, and property valuation method was approximately 99.78% unavailable.</t>
  </si>
  <si>
    <t>Fields considered for risk modeling should contain enough valid information to support reliable segmentation or prediction.</t>
  </si>
  <si>
    <t>The public sample files did not contain usable values for these newer or sparsely populated fields across the selected vintages.</t>
  </si>
  <si>
    <t>Including the fields could add no predictive information, create unstable treatment, or mislead users about available borrower characteristics.</t>
  </si>
  <si>
    <t>Exclude both fields from the primary PD model, preserve them in the audited data, and document the limitation.</t>
  </si>
  <si>
    <t>Project Analyst</t>
  </si>
  <si>
    <t>01_data_audit.ipynb — missing-value audit and missingness by vintage</t>
  </si>
  <si>
    <t>Closed — exclusions documented; raw fields preserved; missingness verified by vintage.</t>
  </si>
  <si>
    <t>O-02</t>
  </si>
  <si>
    <t>EIT-07; EIT-08</t>
  </si>
  <si>
    <t>Unusually high mortgage ratios</t>
  </si>
  <si>
    <t>Three loans exceeded the project's conservative LTV or CLTV review threshold.</t>
  </si>
  <si>
    <t>Values outside established review thresholds should be investigated before correction, exclusion, or use in analysis.</t>
  </si>
  <si>
    <t>All three records were legitimate HARP no-cash-out refinances with pre-HARP identifiers and internally consistent CLTV and LTV relationships.</t>
  </si>
  <si>
    <t>Extreme values could influence numeric models if not identified, but the investigation found no data-quality error.</t>
  </si>
  <si>
    <t>Retain the disclosed values, maintain the extreme-ratio review flag, and evaluate model sensitivity later.</t>
  </si>
  <si>
    <t>01_data_audit.ipynb — ratio_review and extreme_ratio_review_flag</t>
  </si>
  <si>
    <t>Closed — three records reviewed, supported, retained, and flagged for sensitivity testing.</t>
  </si>
  <si>
    <t>L-01</t>
  </si>
  <si>
    <t>Scope Limitation</t>
  </si>
  <si>
    <t>Medium</t>
  </si>
  <si>
    <t>Open</t>
  </si>
  <si>
    <t>EIT-04</t>
  </si>
  <si>
    <t>Full-population performance matching not yet completed</t>
  </si>
  <si>
    <t>The preliminary referential-integrity test covered 100,000 monthly performance rows rather than all four complete performance files.</t>
  </si>
  <si>
    <t>Every monthly performance record should link to a valid origination loan before portfolio outcomes are calculated.</t>
  </si>
  <si>
    <t>The initial test was intentionally limited to a memory-safe sample before development of the chunked performance-audit process.</t>
  </si>
  <si>
    <t>A final conclusion about full-population referential integrity cannot be reached; unmatched records could remain outside the tested sample.</t>
  </si>
  <si>
    <t>Perform chunked full-population identifier matching for each vintage in 02_performance_audit.ipynb and document all exceptions.</t>
  </si>
  <si>
    <t>Exception Log Summary and Rating Guidance</t>
  </si>
  <si>
    <t>Current Inventory</t>
  </si>
  <si>
    <t>Severity Profile</t>
  </si>
  <si>
    <t>Total items</t>
  </si>
  <si>
    <t>In progress</t>
  </si>
  <si>
    <t>High</t>
  </si>
  <si>
    <t>Critical</t>
  </si>
  <si>
    <t>Observations</t>
  </si>
  <si>
    <t>Scope limitations</t>
  </si>
  <si>
    <t>Severity Definitions</t>
  </si>
  <si>
    <t>General meaning</t>
  </si>
  <si>
    <t>Typical case-study response</t>
  </si>
  <si>
    <t>Limited impact; does not prevent reliance on the tested result.</t>
  </si>
  <si>
    <t>Document, monitor, or improve methodology.</t>
  </si>
  <si>
    <t>Could affect a conclusion or population if unresolved.</t>
  </si>
  <si>
    <t>Complete follow-up testing before final conclusion.</t>
  </si>
  <si>
    <t>Material risk to data integrity, calculation, or reporting.</t>
  </si>
  <si>
    <t>Prioritize remediation and retesting.</t>
  </si>
  <si>
    <t>Pervasive failure that prevents reliance on the process or output.</t>
  </si>
  <si>
    <t>Stop affected reporting and escalate immediately.</t>
  </si>
  <si>
    <t>Current Assessment</t>
  </si>
  <si>
    <t>Two low-severity observations are closed because their dispositions were implemented and documented. One medium-severity scope limitation remains open: full-population performance-to-origination matching must be completed before a final referential-integrity conclusion is reached.</t>
  </si>
  <si>
    <t>notebooks/02_performance_audit.ipynb; docs/eit/04_performance_testing_workpaper.md</t>
  </si>
  <si>
    <t>Full-population identifier matching completed for all four vintages. All 12,850,534 performance records were tested, and no unmatched loan identifiers were identified.</t>
  </si>
  <si>
    <t>E-01</t>
  </si>
  <si>
    <t>Data Exception</t>
  </si>
  <si>
    <t>EIT-10</t>
  </si>
  <si>
    <t>Isolated remaining-maturity discrepancy</t>
  </si>
  <si>
    <t>Loan F06Q30294070 contained 37 records with reported remaining maturity between 481 and 517 months.</t>
  </si>
  <si>
    <t>Remaining maturity should reconcile to the difference between the applicable maturity date and monthly reporting period.</t>
  </si>
  <si>
    <t>The reported values exceeded the calculation based on the original maturity date by exactly 157 months. No applicable modification flag or zero-balance code explained the difference. The underlying source-data cause could not be determined.</t>
  </si>
  <si>
    <t>Maturity-based calculations for one loan could be misstated if the disclosed field is used without validation. The exception affects 0.0005% of loans and 0.00029% of performance records tested.</t>
  </si>
  <si>
    <t>Retain the exception for audit traceability and independently calculate or flag maturity values before using them in downstream analytical features.</t>
  </si>
  <si>
    <t>Closed after the affected population was quantified and documented. The isolated loan will be flagged or excluded from maturity-derived analytical features.</t>
  </si>
  <si>
    <t>L-02</t>
  </si>
  <si>
    <t>Modified maturity date unavailable</t>
  </si>
  <si>
    <t>One modified termination record could not be reconciled using the original maturity date.</t>
  </si>
  <si>
    <t>Remaining maturity for modified loans should be calculated using the modified maturity date.</t>
  </si>
  <si>
    <t>The sample performance data reports remaining maturity but does not separately disclose the modified maturity date used in the calculation.</t>
  </si>
  <si>
    <t>Independent recalculation could not be completed for one modified termination record.</t>
  </si>
  <si>
    <t>Document the limitation and avoid classifying the record as a confirmed exception without the modified maturity date.</t>
  </si>
  <si>
    <t>Closed as an accepted source-data limitation. The limitation does not affect the broader population conclusion.</t>
  </si>
  <si>
    <t>Data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</si>
</sst>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6"/>
      <color rgb="FFFFFFFF"/>
      <name val="Aptos Display"/>
    </font>
    <font>
      <i/>
      <sz val="11"/>
      <color rgb="FF44546A"/>
      <name val="Carlito"/>
    </font>
    <font>
      <sz val="10"/>
      <color rgb="FF595959"/>
      <name val="Carlito"/>
    </font>
    <font>
      <sz val="10"/>
      <name val="Aptos"/>
    </font>
    <font>
      <b/>
      <sz val="10"/>
      <color rgb="FFFFFFFF"/>
      <name val="Aptos"/>
    </font>
    <font>
      <b/>
      <sz val="11"/>
      <color rgb="FF222222"/>
      <name val="Aptos"/>
    </font>
    <font>
      <sz val="11"/>
      <color rgb="FF222222"/>
      <name val="Aptos"/>
    </font>
    <font>
      <b/>
      <sz val="11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9E6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horizontal="center" vertical="top" wrapText="1"/>
    </xf>
    <xf numFmtId="164" fontId="4" fillId="0" borderId="4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3" borderId="1" xfId="0" applyFont="1" applyFill="1" applyBorder="1"/>
    <xf numFmtId="0" fontId="6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 applyAlignment="1">
      <alignment wrapText="1"/>
    </xf>
    <xf numFmtId="0" fontId="1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7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11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color rgb="FF595959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ptionLogTable" displayName="ExceptionLogTable" ref="A5:P8" totalsRowShown="0">
  <tableColumns count="16">
    <tableColumn id="1" xr3:uid="{00000000-0010-0000-0000-000001000000}" name="Issue ID"/>
    <tableColumn id="2" xr3:uid="{00000000-0010-0000-0000-000002000000}" name="Classification"/>
    <tableColumn id="3" xr3:uid="{00000000-0010-0000-0000-000003000000}" name="Severity"/>
    <tableColumn id="4" xr3:uid="{00000000-0010-0000-0000-000004000000}" name="Status"/>
    <tableColumn id="5" xr3:uid="{00000000-0010-0000-0000-000005000000}" name="Date Identified"/>
    <tableColumn id="6" xr3:uid="{00000000-0010-0000-0000-000006000000}" name="Related Test IDs"/>
    <tableColumn id="7" xr3:uid="{00000000-0010-0000-0000-000007000000}" name="Title"/>
    <tableColumn id="8" xr3:uid="{00000000-0010-0000-0000-000008000000}" name="Condition"/>
    <tableColumn id="9" xr3:uid="{00000000-0010-0000-0000-000009000000}" name="Criteria / Expected Result"/>
    <tableColumn id="10" xr3:uid="{00000000-0010-0000-0000-00000A000000}" name="Cause / Explanation"/>
    <tableColumn id="11" xr3:uid="{00000000-0010-0000-0000-00000B000000}" name="Potential Impact"/>
    <tableColumn id="12" xr3:uid="{00000000-0010-0000-0000-00000C000000}" name="Disposition / Recommendation"/>
    <tableColumn id="13" xr3:uid="{00000000-0010-0000-0000-00000D000000}" name="Owner"/>
    <tableColumn id="14" xr3:uid="{00000000-0010-0000-0000-00000E000000}" name="Target Date"/>
    <tableColumn id="15" xr3:uid="{00000000-0010-0000-0000-00000F000000}" name="Evidence Reference"/>
    <tableColumn id="16" xr3:uid="{00000000-0010-0000-0000-000010000000}" name="Closure Evidenc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showGridLines="0" topLeftCell="A6" zoomScale="61" workbookViewId="0">
      <selection activeCell="Q3" sqref="Q3"/>
    </sheetView>
  </sheetViews>
  <sheetFormatPr defaultRowHeight="13.8"/>
  <cols>
    <col min="1" max="1" width="11" customWidth="1"/>
    <col min="2" max="2" width="18" customWidth="1"/>
    <col min="3" max="3" width="11" customWidth="1"/>
    <col min="4" max="4" width="12" customWidth="1"/>
    <col min="5" max="5" width="15" customWidth="1"/>
    <col min="6" max="6" width="18" customWidth="1"/>
    <col min="7" max="7" width="28" customWidth="1"/>
    <col min="8" max="8" width="44" customWidth="1"/>
    <col min="9" max="10" width="42" customWidth="1"/>
    <col min="11" max="11" width="40" customWidth="1"/>
    <col min="12" max="12" width="44" customWidth="1"/>
    <col min="13" max="13" width="18" customWidth="1"/>
    <col min="14" max="14" width="15" customWidth="1"/>
    <col min="15" max="15" width="40" customWidth="1"/>
    <col min="16" max="16" width="42" customWidth="1"/>
  </cols>
  <sheetData>
    <row r="1" spans="1:16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4.4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5" spans="1:16" ht="42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</row>
    <row r="6" spans="1:16" ht="124.95" customHeight="1">
      <c r="A6" s="5" t="s">
        <v>19</v>
      </c>
      <c r="B6" s="5" t="s">
        <v>20</v>
      </c>
      <c r="C6" s="5" t="s">
        <v>21</v>
      </c>
      <c r="D6" s="5" t="s">
        <v>22</v>
      </c>
      <c r="E6" s="8">
        <v>46251.375</v>
      </c>
      <c r="F6" s="5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5" t="s">
        <v>30</v>
      </c>
      <c r="N6" s="8">
        <v>46251.375</v>
      </c>
      <c r="O6" s="2" t="s">
        <v>31</v>
      </c>
      <c r="P6" s="2" t="s">
        <v>32</v>
      </c>
    </row>
    <row r="7" spans="1:16" ht="124.95" customHeight="1">
      <c r="A7" s="6" t="s">
        <v>33</v>
      </c>
      <c r="B7" s="6" t="s">
        <v>20</v>
      </c>
      <c r="C7" s="6" t="s">
        <v>21</v>
      </c>
      <c r="D7" s="6" t="s">
        <v>22</v>
      </c>
      <c r="E7" s="9">
        <v>46251.375</v>
      </c>
      <c r="F7" s="6" t="s">
        <v>34</v>
      </c>
      <c r="G7" s="3" t="s">
        <v>35</v>
      </c>
      <c r="H7" s="3" t="s">
        <v>36</v>
      </c>
      <c r="I7" s="3" t="s">
        <v>37</v>
      </c>
      <c r="J7" s="3" t="s">
        <v>38</v>
      </c>
      <c r="K7" s="3" t="s">
        <v>39</v>
      </c>
      <c r="L7" s="3" t="s">
        <v>40</v>
      </c>
      <c r="M7" s="6" t="s">
        <v>30</v>
      </c>
      <c r="N7" s="9">
        <v>46251.375</v>
      </c>
      <c r="O7" s="3" t="s">
        <v>41</v>
      </c>
      <c r="P7" s="3" t="s">
        <v>42</v>
      </c>
    </row>
    <row r="8" spans="1:16" ht="124.95" customHeight="1">
      <c r="A8" s="7" t="s">
        <v>43</v>
      </c>
      <c r="B8" s="7" t="s">
        <v>44</v>
      </c>
      <c r="C8" s="7" t="s">
        <v>45</v>
      </c>
      <c r="D8" s="7" t="s">
        <v>22</v>
      </c>
      <c r="E8" s="10">
        <v>46251.375</v>
      </c>
      <c r="F8" s="7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52</v>
      </c>
      <c r="L8" s="4" t="s">
        <v>53</v>
      </c>
      <c r="M8" s="7" t="s">
        <v>30</v>
      </c>
      <c r="N8" s="10"/>
      <c r="O8" s="4" t="s">
        <v>76</v>
      </c>
      <c r="P8" s="4" t="s">
        <v>77</v>
      </c>
    </row>
    <row r="9" spans="1:16" ht="124.95" customHeight="1">
      <c r="A9" s="7" t="s">
        <v>78</v>
      </c>
      <c r="B9" s="7" t="s">
        <v>79</v>
      </c>
      <c r="C9" s="7" t="s">
        <v>21</v>
      </c>
      <c r="D9" s="7" t="s">
        <v>22</v>
      </c>
      <c r="E9" s="10">
        <v>46254</v>
      </c>
      <c r="F9" s="7" t="s">
        <v>80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85</v>
      </c>
      <c r="L9" s="4" t="s">
        <v>86</v>
      </c>
      <c r="M9" s="7" t="s">
        <v>30</v>
      </c>
      <c r="N9" s="10">
        <v>46254</v>
      </c>
      <c r="O9" s="4" t="s">
        <v>76</v>
      </c>
      <c r="P9" s="4" t="s">
        <v>87</v>
      </c>
    </row>
    <row r="10" spans="1:16" ht="124.95" customHeight="1">
      <c r="A10" s="7" t="s">
        <v>88</v>
      </c>
      <c r="B10" s="7" t="s">
        <v>44</v>
      </c>
      <c r="C10" s="7" t="s">
        <v>21</v>
      </c>
      <c r="D10" s="7" t="s">
        <v>22</v>
      </c>
      <c r="E10" s="10">
        <v>46254</v>
      </c>
      <c r="F10" s="7" t="s">
        <v>80</v>
      </c>
      <c r="G10" s="4" t="s">
        <v>89</v>
      </c>
      <c r="H10" s="4" t="s">
        <v>90</v>
      </c>
      <c r="I10" s="4" t="s">
        <v>91</v>
      </c>
      <c r="J10" s="4" t="s">
        <v>92</v>
      </c>
      <c r="K10" s="4" t="s">
        <v>93</v>
      </c>
      <c r="L10" s="4" t="s">
        <v>94</v>
      </c>
      <c r="M10" s="7" t="s">
        <v>30</v>
      </c>
      <c r="N10" s="10">
        <v>46254</v>
      </c>
      <c r="O10" s="4" t="s">
        <v>76</v>
      </c>
      <c r="P10" s="4" t="s">
        <v>95</v>
      </c>
    </row>
  </sheetData>
  <mergeCells count="3">
    <mergeCell ref="A1:P1"/>
    <mergeCell ref="A2:P2"/>
    <mergeCell ref="A3:P3"/>
  </mergeCells>
  <conditionalFormatting sqref="C6:C30">
    <cfRule type="expression" dxfId="7" priority="1">
      <formula>$C6="Low"</formula>
    </cfRule>
    <cfRule type="expression" dxfId="6" priority="2">
      <formula>$C6="Medium"</formula>
    </cfRule>
    <cfRule type="expression" dxfId="5" priority="3">
      <formula>$C6="High"</formula>
    </cfRule>
    <cfRule type="expression" dxfId="4" priority="4">
      <formula>$C6="Critical"</formula>
    </cfRule>
  </conditionalFormatting>
  <conditionalFormatting sqref="D6:D30">
    <cfRule type="expression" dxfId="3" priority="5">
      <formula>$D6="Closed"</formula>
    </cfRule>
    <cfRule type="expression" dxfId="2" priority="6">
      <formula>$D6="Open"</formula>
    </cfRule>
    <cfRule type="expression" dxfId="1" priority="7">
      <formula>$D6="In Progress"</formula>
    </cfRule>
    <cfRule type="expression" dxfId="0" priority="8">
      <formula>$D6="Accepted"</formula>
    </cfRule>
  </conditionalFormatting>
  <dataValidations count="4">
    <dataValidation type="list" sqref="B6:B30" xr:uid="{00000000-0002-0000-0000-000000000000}">
      <formula1>"Observation,Scope Limitation,Exception"</formula1>
    </dataValidation>
    <dataValidation type="list" sqref="C6:C30" xr:uid="{00000000-0002-0000-0000-000001000000}">
      <formula1>"Low,Medium,High,Critical"</formula1>
    </dataValidation>
    <dataValidation type="list" sqref="D6:D30" xr:uid="{00000000-0002-0000-0000-000002000000}">
      <formula1>"Open,In Progress,Closed,Accepted"</formula1>
    </dataValidation>
    <dataValidation type="list" sqref="M6:M30" xr:uid="{00000000-0002-0000-0000-000003000000}">
      <formula1>"Project Analyst,Data Operations,Credit Risk Analytics,Risk Management"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tabSelected="1" workbookViewId="0">
      <selection activeCell="C9" sqref="C9"/>
    </sheetView>
  </sheetViews>
  <sheetFormatPr defaultRowHeight="13.8"/>
  <cols>
    <col min="1" max="1" width="20" customWidth="1"/>
    <col min="2" max="2" width="34" customWidth="1"/>
    <col min="3" max="3" width="42" customWidth="1"/>
    <col min="4" max="4" width="20" customWidth="1"/>
    <col min="5" max="5" width="14" customWidth="1"/>
    <col min="6" max="8" width="16" customWidth="1"/>
  </cols>
  <sheetData>
    <row r="1" spans="1:8" ht="30" customHeight="1">
      <c r="A1" s="19" t="s">
        <v>54</v>
      </c>
      <c r="B1" s="19"/>
      <c r="C1" s="19"/>
      <c r="D1" s="19"/>
      <c r="E1" s="19"/>
      <c r="F1" s="19"/>
      <c r="G1" s="19"/>
      <c r="H1" s="19"/>
    </row>
    <row r="2" spans="1:8" ht="14.4">
      <c r="A2" s="11"/>
      <c r="B2" s="11"/>
      <c r="C2" s="11"/>
      <c r="D2" s="11"/>
      <c r="E2" s="11"/>
      <c r="F2" s="11"/>
      <c r="G2" s="11"/>
      <c r="H2" s="11"/>
    </row>
    <row r="3" spans="1:8" ht="14.4">
      <c r="A3" s="20" t="s">
        <v>55</v>
      </c>
      <c r="B3" s="20"/>
      <c r="C3" s="11"/>
      <c r="D3" s="20" t="s">
        <v>56</v>
      </c>
      <c r="E3" s="20"/>
      <c r="F3" s="11"/>
      <c r="G3" s="11"/>
      <c r="H3" s="11"/>
    </row>
    <row r="4" spans="1:8" ht="14.4">
      <c r="A4" s="12" t="s">
        <v>57</v>
      </c>
      <c r="B4" s="13">
        <f>COUNTA('Exception Log'!$A$6:$A$30)</f>
        <v>5</v>
      </c>
      <c r="C4" s="11"/>
      <c r="D4" s="12" t="s">
        <v>21</v>
      </c>
      <c r="E4" s="13">
        <f>COUNTIF('Exception Log'!$C$6:$C$30,"Low")</f>
        <v>4</v>
      </c>
      <c r="F4" s="11"/>
      <c r="G4" s="11"/>
      <c r="H4" s="11"/>
    </row>
    <row r="5" spans="1:8" ht="14.4">
      <c r="A5" s="12" t="s">
        <v>46</v>
      </c>
      <c r="B5" s="13">
        <f>COUNTIF('Exception Log'!$D$6:$D$30,"Open")</f>
        <v>0</v>
      </c>
      <c r="C5" s="11"/>
      <c r="D5" s="12" t="s">
        <v>45</v>
      </c>
      <c r="E5" s="13">
        <f>COUNTIF('Exception Log'!$C$6:$C$30,"Medium")</f>
        <v>1</v>
      </c>
      <c r="F5" s="11"/>
      <c r="G5" s="11"/>
      <c r="H5" s="11"/>
    </row>
    <row r="6" spans="1:8" ht="14.4">
      <c r="A6" s="12" t="s">
        <v>58</v>
      </c>
      <c r="B6" s="13">
        <f>COUNTIF('Exception Log'!$D$6:$D$30,"In Progress")</f>
        <v>0</v>
      </c>
      <c r="C6" s="11"/>
      <c r="D6" s="12" t="s">
        <v>59</v>
      </c>
      <c r="E6" s="13">
        <f>COUNTIF('Exception Log'!$C$6:$C$30,"High")</f>
        <v>0</v>
      </c>
      <c r="F6" s="11"/>
      <c r="G6" s="11"/>
      <c r="H6" s="11"/>
    </row>
    <row r="7" spans="1:8" ht="14.4">
      <c r="A7" s="12" t="s">
        <v>22</v>
      </c>
      <c r="B7" s="13">
        <f>COUNTIF('Exception Log'!$D$6:$D$30,"Closed")</f>
        <v>5</v>
      </c>
      <c r="C7" s="11"/>
      <c r="D7" s="12" t="s">
        <v>60</v>
      </c>
      <c r="E7" s="13">
        <f>COUNTIF('Exception Log'!$C$6:$C$30,"Critical")</f>
        <v>0</v>
      </c>
      <c r="F7" s="11"/>
      <c r="G7" s="11"/>
      <c r="H7" s="11"/>
    </row>
    <row r="8" spans="1:8" ht="14.4">
      <c r="A8" s="12" t="s">
        <v>61</v>
      </c>
      <c r="B8" s="13">
        <f>COUNTIF('Exception Log'!$B$6:$B$30,"Observation")</f>
        <v>2</v>
      </c>
      <c r="C8" s="11"/>
      <c r="D8" s="11"/>
      <c r="E8" s="11"/>
      <c r="F8" s="11"/>
      <c r="G8" s="11"/>
      <c r="H8" s="11"/>
    </row>
    <row r="9" spans="1:8" ht="14.4">
      <c r="A9" s="12" t="s">
        <v>62</v>
      </c>
      <c r="B9" s="13">
        <f>COUNTIF('Exception Log'!$B$6:$B$30,"Scope Limitation")</f>
        <v>2</v>
      </c>
      <c r="C9" s="11"/>
      <c r="D9" s="11"/>
      <c r="E9" s="11"/>
      <c r="F9" s="11"/>
      <c r="G9" s="11"/>
      <c r="H9" s="11"/>
    </row>
    <row r="10" spans="1:8" ht="14.4">
      <c r="A10" s="12" t="s">
        <v>96</v>
      </c>
      <c r="B10" s="11">
        <f>COUNTIF('Exception Log'!$B$6:$B$30,"Data Exception")</f>
        <v>1</v>
      </c>
      <c r="C10" s="11"/>
      <c r="D10" s="11"/>
      <c r="E10" s="11"/>
      <c r="F10" s="11"/>
      <c r="G10" s="11"/>
      <c r="H10" s="11"/>
    </row>
    <row r="11" spans="1:8" ht="14.4">
      <c r="A11" s="21" t="s">
        <v>63</v>
      </c>
      <c r="B11" s="21"/>
      <c r="C11" s="21"/>
      <c r="D11" s="21"/>
      <c r="E11" s="21"/>
      <c r="F11" s="21"/>
      <c r="G11" s="21"/>
      <c r="H11" s="21"/>
    </row>
    <row r="12" spans="1:8" ht="14.4">
      <c r="A12" s="14" t="s">
        <v>5</v>
      </c>
      <c r="B12" s="14" t="s">
        <v>64</v>
      </c>
      <c r="C12" s="14" t="s">
        <v>65</v>
      </c>
      <c r="D12" s="11"/>
      <c r="E12" s="11"/>
      <c r="F12" s="11"/>
      <c r="G12" s="11"/>
      <c r="H12" s="11"/>
    </row>
    <row r="13" spans="1:8" ht="49.95" customHeight="1">
      <c r="A13" s="15" t="s">
        <v>21</v>
      </c>
      <c r="B13" s="15" t="s">
        <v>66</v>
      </c>
      <c r="C13" s="15" t="s">
        <v>67</v>
      </c>
      <c r="D13" s="11"/>
      <c r="E13" s="11"/>
      <c r="F13" s="11"/>
      <c r="G13" s="11"/>
      <c r="H13" s="11"/>
    </row>
    <row r="14" spans="1:8" ht="49.95" customHeight="1">
      <c r="A14" s="15" t="s">
        <v>45</v>
      </c>
      <c r="B14" s="15" t="s">
        <v>68</v>
      </c>
      <c r="C14" s="15" t="s">
        <v>69</v>
      </c>
      <c r="D14" s="11"/>
      <c r="E14" s="11"/>
      <c r="F14" s="11"/>
      <c r="G14" s="11"/>
      <c r="H14" s="11"/>
    </row>
    <row r="15" spans="1:8" ht="49.95" customHeight="1">
      <c r="A15" s="15" t="s">
        <v>59</v>
      </c>
      <c r="B15" s="15" t="s">
        <v>70</v>
      </c>
      <c r="C15" s="15" t="s">
        <v>71</v>
      </c>
      <c r="D15" s="11"/>
      <c r="E15" s="11"/>
      <c r="F15" s="11"/>
      <c r="G15" s="11"/>
      <c r="H15" s="11"/>
    </row>
    <row r="16" spans="1:8" ht="49.95" customHeight="1">
      <c r="A16" s="15" t="s">
        <v>60</v>
      </c>
      <c r="B16" s="15" t="s">
        <v>72</v>
      </c>
      <c r="C16" s="15" t="s">
        <v>73</v>
      </c>
      <c r="D16" s="11"/>
      <c r="E16" s="11"/>
      <c r="F16" s="11"/>
      <c r="G16" s="11"/>
      <c r="H16" s="11"/>
    </row>
    <row r="17" spans="1:8" ht="14.4">
      <c r="A17" s="11"/>
      <c r="B17" s="11"/>
      <c r="C17" s="11"/>
      <c r="D17" s="11"/>
      <c r="E17" s="11"/>
      <c r="F17" s="11"/>
      <c r="G17" s="11"/>
      <c r="H17" s="11"/>
    </row>
    <row r="18" spans="1:8" ht="14.4">
      <c r="A18" s="21" t="s">
        <v>74</v>
      </c>
      <c r="B18" s="21"/>
      <c r="C18" s="21"/>
      <c r="D18" s="21"/>
      <c r="E18" s="21"/>
      <c r="F18" s="21"/>
      <c r="G18" s="21"/>
      <c r="H18" s="21"/>
    </row>
    <row r="19" spans="1:8" ht="25.95" customHeight="1">
      <c r="A19" s="22" t="s">
        <v>75</v>
      </c>
      <c r="B19" s="23"/>
      <c r="C19" s="23"/>
      <c r="D19" s="23"/>
      <c r="E19" s="23"/>
      <c r="F19" s="23"/>
      <c r="G19" s="23"/>
      <c r="H19" s="24"/>
    </row>
    <row r="20" spans="1:8" ht="25.95" customHeight="1">
      <c r="A20" s="25"/>
      <c r="B20" s="26"/>
      <c r="C20" s="26"/>
      <c r="D20" s="26"/>
      <c r="E20" s="26"/>
      <c r="F20" s="26"/>
      <c r="G20" s="26"/>
      <c r="H20" s="27"/>
    </row>
    <row r="21" spans="1:8" ht="25.95" customHeight="1">
      <c r="A21" s="25"/>
      <c r="B21" s="26"/>
      <c r="C21" s="26"/>
      <c r="D21" s="26"/>
      <c r="E21" s="26"/>
      <c r="F21" s="26"/>
      <c r="G21" s="26"/>
      <c r="H21" s="27"/>
    </row>
    <row r="22" spans="1:8" ht="25.95" customHeight="1">
      <c r="A22" s="28"/>
      <c r="B22" s="29"/>
      <c r="C22" s="29"/>
      <c r="D22" s="29"/>
      <c r="E22" s="29"/>
      <c r="F22" s="29"/>
      <c r="G22" s="29"/>
      <c r="H22" s="30"/>
    </row>
  </sheetData>
  <mergeCells count="6">
    <mergeCell ref="A19:H22"/>
    <mergeCell ref="A1:H1"/>
    <mergeCell ref="A3:B3"/>
    <mergeCell ref="D3:E3"/>
    <mergeCell ref="A11:H11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Exception Log</vt:lpstr>
      <vt:lpstr>Summary and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Mai.H.H Nguyen</cp:lastModifiedBy>
  <dcterms:modified xsi:type="dcterms:W3CDTF">2026-08-20T21:50:14Z</dcterms:modified>
</cp:coreProperties>
</file>