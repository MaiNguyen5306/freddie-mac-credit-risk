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2fecf2bfd34f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ception Log" sheetId="1" r:id="R13019062d46548f1"/>
    <x:sheet xmlns:r="http://schemas.openxmlformats.org/officeDocument/2006/relationships" name="Summary and Guidance" sheetId="2" r:id="Ra177fe9f7dd142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16"/>
      <x:color rgb="FFFFFFFF"/>
      <x:name val="Aptos Display"/>
    </x:font>
    <x:font>
      <x:i/>
      <x:sz val="11"/>
      <x:color rgb="FF44546A"/>
      <x:name val="Carlito"/>
    </x:font>
    <x:font>
      <x:sz val="10"/>
      <x:color rgb="FF595959"/>
      <x:name val="Carlito"/>
    </x:font>
    <x:font>
      <x:sz val="10"/>
      <x:name val="Aptos"/>
    </x:font>
    <x:font>
      <x:b/>
      <x:sz val="10"/>
      <x:color rgb="FFFFFFFF"/>
      <x:name val="Aptos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222222"/>
      <x:name val="Aptos"/>
    </x:font>
    <x:font>
      <x:sz val="11"/>
      <x:color rgb="FF222222"/>
      <x:name val="Aptos"/>
    </x:font>
    <x:font>
      <x:b/>
      <x:sz val="11"/>
      <x:color rgb="FFFFFFF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FFF9E6"/>
      </x:patternFill>
    </x:fill>
  </x:fills>
  <x:borders count="13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0" fontId="5" fillId="2" borderId="0" xfId="0" applyNumberFormat="1" applyFont="1" applyFill="1" applyBorder="1" applyAlignment="1">
      <x:alignment vertical="top"/>
    </x:xf>
    <x:xf numFmtId="0" fontId="5" fillId="2" borderId="1" xfId="0" applyNumberFormat="1" applyFont="1" applyFill="1" applyBorder="1" applyAlignment="1">
      <x:alignment vertical="top"/>
    </x:xf>
    <x:xf numFmtId="0" fontId="5" fillId="2" borderId="1" xfId="0" applyNumberFormat="1" applyFont="1" applyFill="1" applyBorder="1" applyAlignment="1">
      <x:alignment vertical="top" wrapText="1"/>
    </x:xf>
    <x:xf numFmtId="0" fontId="5" fillId="2" borderId="1" xfId="0" applyNumberFormat="1" applyFont="1" applyFill="1" applyBorder="1" applyAlignment="1">
      <x:alignment horizontal="center" vertical="top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4" fillId="0" borderId="3" xfId="0" applyNumberFormat="1" applyFont="1" applyFill="1" applyBorder="1" applyAlignment="1">
      <x:alignment horizontal="center" vertical="top" wrapText="1"/>
    </x:xf>
    <x:xf numFmtId="0" fontId="4" fillId="0" borderId="4" xfId="0" applyNumberFormat="1" applyFont="1" applyFill="1" applyBorder="1" applyAlignment="1">
      <x:alignment horizontal="center" vertical="top" wrapText="1"/>
    </x:xf>
    <x:xf numFmtId="200" fontId="4" fillId="0" borderId="2" xfId="0" applyNumberFormat="1" applyFont="1" applyFill="1" applyBorder="1" applyAlignment="1">
      <x:alignment horizontal="center" vertical="top" wrapText="1"/>
    </x:xf>
    <x:xf numFmtId="200" fontId="4" fillId="0" borderId="3" xfId="0" applyNumberFormat="1" applyFont="1" applyFill="1" applyBorder="1" applyAlignment="1">
      <x:alignment horizontal="center" vertical="top" wrapText="1"/>
    </x:xf>
    <x:xf numFmtId="200" fontId="4" fillId="0" borderId="4" xfId="0" applyNumberFormat="1" applyFont="1" applyFill="1" applyBorder="1" applyAlignment="1">
      <x:alignment horizontal="center"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7" fillId="0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horizontal="center" wrapText="1"/>
    </x:xf>
    <x:xf numFmtId="0" fontId="7" fillId="3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vertical="center" wrapText="1"/>
    </x:xf>
    <x:xf numFmtId="0" fontId="0" fillId="5" borderId="6" xfId="0" applyNumberFormat="1" applyFont="1" applyFill="1" applyBorder="1" applyAlignment="1">
      <x:alignment vertical="center" wrapText="1"/>
    </x:xf>
    <x:xf numFmtId="0" fontId="0" fillId="5" borderId="7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10" xfId="0" applyNumberFormat="1" applyFont="1" applyFill="1" applyBorder="1" applyAlignment="1">
      <x:alignment vertical="center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9" fillId="0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9" fillId="3" borderId="1" xfId="0" applyNumberFormat="1" applyFont="1" applyFill="1" applyBorder="1"/>
    <x:xf numFmtId="0" fontId="8" fillId="0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 wrapText="1"/>
    </x:xf>
    <x:xf numFmtId="0" fontId="9" fillId="0" borderId="1" xfId="0" applyNumberFormat="1" applyFont="1" applyFill="1" applyBorder="1" applyAlignment="1">
      <x:alignment wrapText="1"/>
    </x:xf>
    <x:xf numFmtId="0" fontId="9" fillId="5" borderId="5" xfId="0" applyNumberFormat="1" applyFont="1" applyFill="1" applyBorder="1" applyAlignment="1">
      <x:alignment vertical="center" wrapText="1"/>
    </x:xf>
    <x:xf numFmtId="0" fontId="9" fillId="5" borderId="6" xfId="0" applyNumberFormat="1" applyFont="1" applyFill="1" applyBorder="1" applyAlignment="1">
      <x:alignment vertical="center" wrapText="1"/>
    </x:xf>
    <x:xf numFmtId="0" fontId="9" fillId="5" borderId="7" xfId="0" applyNumberFormat="1" applyFont="1" applyFill="1" applyBorder="1" applyAlignment="1">
      <x:alignment vertical="center" wrapText="1"/>
    </x:xf>
    <x:xf numFmtId="0" fontId="9" fillId="5" borderId="8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9" fillId="5" borderId="9" xfId="0" applyNumberFormat="1" applyFont="1" applyFill="1" applyBorder="1" applyAlignment="1">
      <x:alignment vertical="center" wrapText="1"/>
    </x:xf>
    <x:xf numFmtId="0" fontId="9" fillId="5" borderId="10" xfId="0" applyNumberFormat="1" applyFont="1" applyFill="1" applyBorder="1" applyAlignment="1">
      <x:alignment vertical="center" wrapText="1"/>
    </x:xf>
    <x:xf numFmtId="0" fontId="9" fillId="5" borderId="11" xfId="0" applyNumberFormat="1" applyFont="1" applyFill="1" applyBorder="1" applyAlignment="1">
      <x:alignment vertical="center" wrapText="1"/>
    </x:xf>
    <x:xf numFmtId="0" fontId="9" fillId="5" borderId="12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horizontal="center"/>
    </x:xf>
    <x:xf numFmtId="0" fontId="10" fillId="2" borderId="0" xfId="0" applyNumberFormat="1" applyFont="1" applyFill="1" applyBorder="1"/>
  </x:cellXfs>
  <x:cellStyles count="1">
    <x:cellStyle name="Normal" xfId="0"/>
  </x:cellStyles>
  <x:dxfs count="8">
    <x:dxf>
      <x:font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FFFFFF"/>
      </x:font>
      <x:fill>
        <x:patternFill patternType="solid">
          <x:bgColor rgb="FFC00000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ea5dabfd6d4444" /><Relationship Type="http://schemas.openxmlformats.org/officeDocument/2006/relationships/theme" Target="/xl/theme/theme1.xml" Id="R7b589f39b0b1433a" /><Relationship Type="http://schemas.openxmlformats.org/officeDocument/2006/relationships/sharedStrings" Target="/xl/sharedStrings.xml" Id="Rb0ef52221ff44997" /><Relationship Type="http://schemas.openxmlformats.org/officeDocument/2006/relationships/worksheet" Target="/xl/worksheets/sheet1.xml" Id="R13019062d46548f1" /><Relationship Type="http://schemas.openxmlformats.org/officeDocument/2006/relationships/worksheet" Target="/xl/worksheets/sheet2.xml" Id="Ra177fe9f7dd14232" /></Relationships>
</file>

<file path=xl/tables/table1.xml><?xml version="1.0" encoding="utf-8"?>
<x:table xmlns:x="http://schemas.openxmlformats.org/spreadsheetml/2006/main" id="1" name="ExceptionLogTable" displayName="ExceptionLogTable" ref="A5:P8" headerRowCount="1" totalsRowCount="0" totalsRowShown="0">
  <x:tableColumns count="16">
    <x:tableColumn id="1" name="Issue ID"/>
    <x:tableColumn id="2" name="Classification"/>
    <x:tableColumn id="3" name="Severity"/>
    <x:tableColumn id="4" name="Status"/>
    <x:tableColumn id="5" name="Date Identified"/>
    <x:tableColumn id="6" name="Related Test IDs"/>
    <x:tableColumn id="7" name="Title"/>
    <x:tableColumn id="8" name="Condition"/>
    <x:tableColumn id="9" name="Criteria / Expected Result"/>
    <x:tableColumn id="10" name="Cause / Explanation"/>
    <x:tableColumn id="11" name="Potential Impact"/>
    <x:tableColumn id="12" name="Disposition / Recommendation"/>
    <x:tableColumn id="13" name="Owner"/>
    <x:tableColumn id="14" name="Target Date"/>
    <x:tableColumn id="15" name="Evidence Reference"/>
    <x:tableColumn id="16" name="Closure Evidence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4a7f2943ff4f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8" hidden="0" customWidth="1"/>
    <x:col min="3" max="3" width="11" hidden="0" customWidth="1"/>
    <x:col min="4" max="4" width="12" hidden="0" customWidth="1"/>
    <x:col min="5" max="5" width="15" hidden="0" customWidth="1"/>
    <x:col min="6" max="6" width="18" hidden="0" customWidth="1"/>
    <x:col min="7" max="7" width="28" hidden="0" customWidth="1"/>
    <x:col min="8" max="8" width="44" hidden="0" customWidth="1"/>
    <x:col min="9" max="9" width="42" hidden="0" customWidth="1"/>
    <x:col min="10" max="10" width="42" hidden="0" customWidth="1"/>
    <x:col min="11" max="11" width="40" hidden="0" customWidth="1"/>
    <x:col min="12" max="12" width="44" hidden="0" customWidth="1"/>
    <x:col min="13" max="13" width="18" hidden="0" customWidth="1"/>
    <x:col min="14" max="14" width="15" hidden="0" customWidth="1"/>
    <x:col min="15" max="15" width="40" hidden="0" customWidth="1"/>
    <x:col min="16" max="16" width="42" hidden="0" customWidth="1"/>
  </x:cols>
  <x:sheetData>
    <x:row r="1" ht="30" customHeight="1">
      <x:c r="A1" s="3" t="str">
        <x:v>Mortgage Data and Credit-Risk Reporting — Exception 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>
      <x:c r="A2" s="5" t="str">
        <x:v>Simulated EIT case study — record observations, scope limitations, exceptions, dispositions, and closure evidence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</x:row>
    <x:row r="3">
      <x:c r="A3" s="8" t="str">
        <x:v>This log does not represent findings against Freddie Mac's internal controls. It documents results from a hypothetical mortgage data-control testing process using public data.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</x:row>
    <x:row r="5" ht="42" customHeight="1">
      <x:c r="A5" s="16" t="str">
        <x:v>Issue ID</x:v>
      </x:c>
      <x:c r="B5" s="16" t="str">
        <x:v>Classification</x:v>
      </x:c>
      <x:c r="C5" s="16" t="str">
        <x:v>Severity</x:v>
      </x:c>
      <x:c r="D5" s="16" t="str">
        <x:v>Status</x:v>
      </x:c>
      <x:c r="E5" s="16" t="str">
        <x:v>Date Identified</x:v>
      </x:c>
      <x:c r="F5" s="16" t="str">
        <x:v>Related Test IDs</x:v>
      </x:c>
      <x:c r="G5" s="16" t="str">
        <x:v>Title</x:v>
      </x:c>
      <x:c r="H5" s="16" t="str">
        <x:v>Condition</x:v>
      </x:c>
      <x:c r="I5" s="16" t="str">
        <x:v>Criteria / Expected Result</x:v>
      </x:c>
      <x:c r="J5" s="16" t="str">
        <x:v>Cause / Explanation</x:v>
      </x:c>
      <x:c r="K5" s="16" t="str">
        <x:v>Potential Impact</x:v>
      </x:c>
      <x:c r="L5" s="16" t="str">
        <x:v>Disposition / Recommendation</x:v>
      </x:c>
      <x:c r="M5" s="16" t="str">
        <x:v>Owner</x:v>
      </x:c>
      <x:c r="N5" s="16" t="str">
        <x:v>Target Date</x:v>
      </x:c>
      <x:c r="O5" s="16" t="str">
        <x:v>Evidence Reference</x:v>
      </x:c>
      <x:c r="P5" s="16" t="str">
        <x:v>Closure Evidence / Notes</x:v>
      </x:c>
    </x:row>
    <x:row r="6" ht="125" customHeight="1">
      <x:c r="A6" s="21" t="str">
        <x:v>O-01</x:v>
      </x:c>
      <x:c r="B6" s="21" t="str">
        <x:v>Observation</x:v>
      </x:c>
      <x:c r="C6" s="21" t="str">
        <x:v>Low</x:v>
      </x:c>
      <x:c r="D6" s="21" t="str">
        <x:v>Closed</x:v>
      </x:c>
      <x:c r="E6" s="24" t="n">
        <x:v>46251.375</x:v>
      </x:c>
      <x:c r="F6" s="21" t="str">
        <x:v>EIT-05; EIT-07</x:v>
      </x:c>
      <x:c r="G6" s="18" t="str">
        <x:v>Sparse modeling fields</x:v>
      </x:c>
      <x:c r="H6" s="18" t="str">
        <x:v>VantageScore 4 was unavailable for 100% of the origination population, and property valuation method was approximately 99.78% unavailable.</x:v>
      </x:c>
      <x:c r="I6" s="18" t="str">
        <x:v>Fields considered for risk modeling should contain enough valid information to support reliable segmentation or prediction.</x:v>
      </x:c>
      <x:c r="J6" s="18" t="str">
        <x:v>The public sample files did not contain usable values for these newer or sparsely populated fields across the selected vintages.</x:v>
      </x:c>
      <x:c r="K6" s="18" t="str">
        <x:v>Including the fields could add no predictive information, create unstable treatment, or mislead users about available borrower characteristics.</x:v>
      </x:c>
      <x:c r="L6" s="18" t="str">
        <x:v>Exclude both fields from the primary PD model, preserve them in the audited data, and document the limitation.</x:v>
      </x:c>
      <x:c r="M6" s="21" t="str">
        <x:v>Project Analyst</x:v>
      </x:c>
      <x:c r="N6" s="24" t="n">
        <x:v>46251.375</x:v>
      </x:c>
      <x:c r="O6" s="18" t="str">
        <x:v>01_data_audit.ipynb — missing-value audit and missingness by vintage</x:v>
      </x:c>
      <x:c r="P6" s="18" t="str">
        <x:v>Closed — exclusions documented; raw fields preserved; missingness verified by vintage.</x:v>
      </x:c>
    </x:row>
    <x:row r="7" ht="125" customHeight="1">
      <x:c r="A7" s="22" t="str">
        <x:v>O-02</x:v>
      </x:c>
      <x:c r="B7" s="22" t="str">
        <x:v>Observation</x:v>
      </x:c>
      <x:c r="C7" s="22" t="str">
        <x:v>Low</x:v>
      </x:c>
      <x:c r="D7" s="22" t="str">
        <x:v>Closed</x:v>
      </x:c>
      <x:c r="E7" s="25" t="n">
        <x:v>46251.375</x:v>
      </x:c>
      <x:c r="F7" s="22" t="str">
        <x:v>EIT-07; EIT-08</x:v>
      </x:c>
      <x:c r="G7" s="19" t="str">
        <x:v>Unusually high mortgage ratios</x:v>
      </x:c>
      <x:c r="H7" s="19" t="str">
        <x:v>Three loans exceeded the project's conservative LTV or CLTV review threshold.</x:v>
      </x:c>
      <x:c r="I7" s="19" t="str">
        <x:v>Values outside established review thresholds should be investigated before correction, exclusion, or use in analysis.</x:v>
      </x:c>
      <x:c r="J7" s="19" t="str">
        <x:v>All three records were legitimate HARP no-cash-out refinances with pre-HARP identifiers and internally consistent CLTV and LTV relationships.</x:v>
      </x:c>
      <x:c r="K7" s="19" t="str">
        <x:v>Extreme values could influence numeric models if not identified, but the investigation found no data-quality error.</x:v>
      </x:c>
      <x:c r="L7" s="19" t="str">
        <x:v>Retain the disclosed values, maintain the extreme-ratio review flag, and evaluate model sensitivity later.</x:v>
      </x:c>
      <x:c r="M7" s="22" t="str">
        <x:v>Project Analyst</x:v>
      </x:c>
      <x:c r="N7" s="25" t="n">
        <x:v>46251.375</x:v>
      </x:c>
      <x:c r="O7" s="19" t="str">
        <x:v>01_data_audit.ipynb — ratio_review and extreme_ratio_review_flag</x:v>
      </x:c>
      <x:c r="P7" s="19" t="str">
        <x:v>Closed — three records reviewed, supported, retained, and flagged for sensitivity testing.</x:v>
      </x:c>
    </x:row>
    <x:row r="8" ht="125" customHeight="1">
      <x:c r="A8" s="23" t="str">
        <x:v>L-01</x:v>
      </x:c>
      <x:c r="B8" s="23" t="str">
        <x:v>Scope Limitation</x:v>
      </x:c>
      <x:c r="C8" s="23" t="str">
        <x:v>Medium</x:v>
      </x:c>
      <x:c r="D8" s="23" t="str">
        <x:v>Open</x:v>
      </x:c>
      <x:c r="E8" s="26" t="n">
        <x:v>46251.375</x:v>
      </x:c>
      <x:c r="F8" s="23" t="str">
        <x:v>EIT-04</x:v>
      </x:c>
      <x:c r="G8" s="20" t="str">
        <x:v>Full-population performance matching not yet completed</x:v>
      </x:c>
      <x:c r="H8" s="20" t="str">
        <x:v>The preliminary referential-integrity test covered 100,000 monthly performance rows rather than all four complete performance files.</x:v>
      </x:c>
      <x:c r="I8" s="20" t="str">
        <x:v>Every monthly performance record should link to a valid origination loan before portfolio outcomes are calculated.</x:v>
      </x:c>
      <x:c r="J8" s="20" t="str">
        <x:v>The initial test was intentionally limited to a memory-safe sample before development of the chunked performance-audit process.</x:v>
      </x:c>
      <x:c r="K8" s="20" t="str">
        <x:v>A final conclusion about full-population referential integrity cannot be reached; unmatched records could remain outside the tested sample.</x:v>
      </x:c>
      <x:c r="L8" s="20" t="str">
        <x:v>Perform chunked full-population identifier matching for each vintage in 02_performance_audit.ipynb and document all exceptions.</x:v>
      </x:c>
      <x:c r="M8" s="23" t="str">
        <x:v>Project Analyst</x:v>
      </x:c>
      <x:c r="N8" s="26"/>
      <x:c r="O8" s="20" t="str">
        <x:v>01_data_audit.ipynb — 100,000-row identifier test; 02_performance_audit.ipynb — planned</x:v>
      </x:c>
      <x:c r="P8" s="20" t="str">
        <x:v>Open — conclusion deferred until all performance files have been tested.</x:v>
      </x:c>
    </x:row>
  </x:sheetData>
  <x:mergeCells>
    <x:mergeCell ref="A1:P1"/>
    <x:mergeCell ref="A2:P2"/>
    <x:mergeCell ref="A3:P3"/>
  </x:mergeCells>
  <x:conditionalFormatting sqref="C6:C30">
    <x:cfRule type="expression" dxfId="0" priority="1">
      <x:formula>$C6="Low"</x:formula>
    </x:cfRule>
    <x:cfRule type="expression" dxfId="1" priority="2">
      <x:formula>$C6="Medium"</x:formula>
    </x:cfRule>
    <x:cfRule type="expression" dxfId="2" priority="3">
      <x:formula>$C6="High"</x:formula>
    </x:cfRule>
    <x:cfRule type="expression" dxfId="3" priority="4">
      <x:formula>$C6="Critical"</x:formula>
    </x:cfRule>
  </x:conditionalFormatting>
  <x:conditionalFormatting sqref="D6:D30">
    <x:cfRule type="expression" dxfId="4" priority="5">
      <x:formula>$D6="Closed"</x:formula>
    </x:cfRule>
    <x:cfRule type="expression" dxfId="5" priority="6">
      <x:formula>$D6="Open"</x:formula>
    </x:cfRule>
    <x:cfRule type="expression" dxfId="6" priority="7">
      <x:formula>$D6="In Progress"</x:formula>
    </x:cfRule>
    <x:cfRule type="expression" dxfId="7" priority="8">
      <x:formula>$D6="Accepted"</x:formula>
    </x:cfRule>
  </x:conditionalFormatting>
  <x:dataValidations count="4">
    <x:dataValidation type="list" sqref="B6:B30">
      <x:formula1>"Observation,Scope Limitation,Exception"</x:formula1>
    </x:dataValidation>
    <x:dataValidation type="list" sqref="C6:C30">
      <x:formula1>"Low,Medium,High,Critical"</x:formula1>
    </x:dataValidation>
    <x:dataValidation type="list" sqref="D6:D30">
      <x:formula1>"Open,In Progress,Closed,Accepted"</x:formula1>
    </x:dataValidation>
    <x:dataValidation type="list" sqref="M6:M30">
      <x:formula1>"Project Analyst,Data Operations,Credit Risk Analytics,Risk Management"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4a7f2943ff4f7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42" hidden="0" customWidth="1"/>
    <x:col min="4" max="4" width="20" hidden="0" customWidth="1"/>
    <x:col min="5" max="5" width="14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2" t="str">
        <x:v>Exception Log Summary and Rating Guidance</x:v>
      </x:c>
      <x:c r="B1" s="2"/>
      <x:c r="C1" s="2"/>
      <x:c r="D1" s="2"/>
      <x:c r="E1" s="2"/>
      <x:c r="F1" s="2"/>
      <x:c r="G1" s="2"/>
      <x:c r="H1" s="2"/>
    </x:row>
    <x:row r="2">
      <x:c r="A2" s="65"/>
      <x:c r="B2" s="65"/>
      <x:c r="C2" s="65"/>
      <x:c r="D2" s="65"/>
      <x:c r="E2" s="65"/>
      <x:c r="F2" s="65"/>
      <x:c r="G2" s="65"/>
      <x:c r="H2" s="65"/>
    </x:row>
    <x:row r="3">
      <x:c r="A3" s="80" t="str">
        <x:v>Current Inventory</x:v>
      </x:c>
      <x:c r="B3" s="80"/>
      <x:c r="C3" s="65"/>
      <x:c r="D3" s="80" t="str">
        <x:v>Severity Profile</x:v>
      </x:c>
      <x:c r="E3" s="80"/>
      <x:c r="F3" s="65"/>
      <x:c r="G3" s="65"/>
      <x:c r="H3" s="65"/>
    </x:row>
    <x:row r="4">
      <x:c r="A4" s="67" t="str">
        <x:v>Total items</x:v>
      </x:c>
      <x:c r="B4" s="68" t="n">
        <x:f>COUNTA('Exception Log'!$A$6:$A$30)</x:f>
        <x:v>3</x:v>
      </x:c>
      <x:c r="C4" s="65"/>
      <x:c r="D4" s="67" t="str">
        <x:v>Low</x:v>
      </x:c>
      <x:c r="E4" s="68" t="n">
        <x:f>COUNTIF('Exception Log'!$C$6:$C$30,"Low")</x:f>
        <x:v>2</x:v>
      </x:c>
      <x:c r="F4" s="65"/>
      <x:c r="G4" s="65"/>
      <x:c r="H4" s="65"/>
    </x:row>
    <x:row r="5">
      <x:c r="A5" s="67" t="str">
        <x:v>Open</x:v>
      </x:c>
      <x:c r="B5" s="68" t="n">
        <x:f>COUNTIF('Exception Log'!$D$6:$D$30,"Open")</x:f>
        <x:v>1</x:v>
      </x:c>
      <x:c r="C5" s="65"/>
      <x:c r="D5" s="67" t="str">
        <x:v>Medium</x:v>
      </x:c>
      <x:c r="E5" s="68" t="n">
        <x:f>COUNTIF('Exception Log'!$C$6:$C$30,"Medium")</x:f>
        <x:v>1</x:v>
      </x:c>
      <x:c r="F5" s="65"/>
      <x:c r="G5" s="65"/>
      <x:c r="H5" s="65"/>
    </x:row>
    <x:row r="6">
      <x:c r="A6" s="67" t="str">
        <x:v>In progress</x:v>
      </x:c>
      <x:c r="B6" s="68" t="n">
        <x:f>COUNTIF('Exception Log'!$D$6:$D$30,"In Progress")</x:f>
        <x:v>0</x:v>
      </x:c>
      <x:c r="C6" s="65"/>
      <x:c r="D6" s="67" t="str">
        <x:v>High</x:v>
      </x:c>
      <x:c r="E6" s="68" t="n">
        <x:f>COUNTIF('Exception Log'!$C$6:$C$30,"High")</x:f>
        <x:v>0</x:v>
      </x:c>
      <x:c r="F6" s="65"/>
      <x:c r="G6" s="65"/>
      <x:c r="H6" s="65"/>
    </x:row>
    <x:row r="7">
      <x:c r="A7" s="67" t="str">
        <x:v>Closed</x:v>
      </x:c>
      <x:c r="B7" s="68" t="n">
        <x:f>COUNTIF('Exception Log'!$D$6:$D$30,"Closed")</x:f>
        <x:v>2</x:v>
      </x:c>
      <x:c r="C7" s="65"/>
      <x:c r="D7" s="67" t="str">
        <x:v>Critical</x:v>
      </x:c>
      <x:c r="E7" s="68" t="n">
        <x:f>COUNTIF('Exception Log'!$C$6:$C$30,"Critical")</x:f>
        <x:v>0</x:v>
      </x:c>
      <x:c r="F7" s="65"/>
      <x:c r="G7" s="65"/>
      <x:c r="H7" s="65"/>
    </x:row>
    <x:row r="8">
      <x:c r="A8" s="67" t="str">
        <x:v>Observations</x:v>
      </x:c>
      <x:c r="B8" s="68" t="n">
        <x:f>COUNTIF('Exception Log'!$B$6:$B$30,"Observation")</x:f>
        <x:v>2</x:v>
      </x:c>
      <x:c r="C8" s="65"/>
      <x:c r="D8" s="65"/>
      <x:c r="E8" s="65"/>
      <x:c r="F8" s="65"/>
      <x:c r="G8" s="65"/>
      <x:c r="H8" s="65"/>
    </x:row>
    <x:row r="9">
      <x:c r="A9" s="67" t="str">
        <x:v>Scope limitations</x:v>
      </x:c>
      <x:c r="B9" s="68" t="n">
        <x:f>COUNTIF('Exception Log'!$B$6:$B$30,"Scope Limitation")</x:f>
        <x:v>1</x:v>
      </x:c>
      <x:c r="C9" s="65"/>
      <x:c r="D9" s="65"/>
      <x:c r="E9" s="65"/>
      <x:c r="F9" s="65"/>
      <x:c r="G9" s="65"/>
      <x:c r="H9" s="65"/>
    </x:row>
    <x:row r="10">
      <x:c r="A10" s="65"/>
      <x:c r="B10" s="65"/>
      <x:c r="C10" s="65"/>
      <x:c r="D10" s="65"/>
      <x:c r="E10" s="65"/>
      <x:c r="F10" s="65"/>
      <x:c r="G10" s="65"/>
      <x:c r="H10" s="65"/>
    </x:row>
    <x:row r="11">
      <x:c r="A11" s="81" t="str">
        <x:v>Severity Definitions</x:v>
      </x:c>
      <x:c r="B11" s="81"/>
      <x:c r="C11" s="81"/>
      <x:c r="D11" s="81"/>
      <x:c r="E11" s="81"/>
      <x:c r="F11" s="81"/>
      <x:c r="G11" s="81"/>
      <x:c r="H11" s="81"/>
    </x:row>
    <x:row r="12">
      <x:c r="A12" s="69" t="str">
        <x:v>Severity</x:v>
      </x:c>
      <x:c r="B12" s="69" t="str">
        <x:v>General meaning</x:v>
      </x:c>
      <x:c r="C12" s="69" t="str">
        <x:v>Typical case-study response</x:v>
      </x:c>
      <x:c r="D12" s="65"/>
      <x:c r="E12" s="65"/>
      <x:c r="F12" s="65"/>
      <x:c r="G12" s="65"/>
      <x:c r="H12" s="65"/>
    </x:row>
    <x:row r="13" ht="50" customHeight="1">
      <x:c r="A13" s="70" t="str">
        <x:v>Low</x:v>
      </x:c>
      <x:c r="B13" s="70" t="str">
        <x:v>Limited impact; does not prevent reliance on the tested result.</x:v>
      </x:c>
      <x:c r="C13" s="70" t="str">
        <x:v>Document, monitor, or improve methodology.</x:v>
      </x:c>
      <x:c r="D13" s="65"/>
      <x:c r="E13" s="65"/>
      <x:c r="F13" s="65"/>
      <x:c r="G13" s="65"/>
      <x:c r="H13" s="65"/>
    </x:row>
    <x:row r="14" ht="50" customHeight="1">
      <x:c r="A14" s="70" t="str">
        <x:v>Medium</x:v>
      </x:c>
      <x:c r="B14" s="70" t="str">
        <x:v>Could affect a conclusion or population if unresolved.</x:v>
      </x:c>
      <x:c r="C14" s="70" t="str">
        <x:v>Complete follow-up testing before final conclusion.</x:v>
      </x:c>
      <x:c r="D14" s="65"/>
      <x:c r="E14" s="65"/>
      <x:c r="F14" s="65"/>
      <x:c r="G14" s="65"/>
      <x:c r="H14" s="65"/>
    </x:row>
    <x:row r="15" ht="50" customHeight="1">
      <x:c r="A15" s="70" t="str">
        <x:v>High</x:v>
      </x:c>
      <x:c r="B15" s="70" t="str">
        <x:v>Material risk to data integrity, calculation, or reporting.</x:v>
      </x:c>
      <x:c r="C15" s="70" t="str">
        <x:v>Prioritize remediation and retesting.</x:v>
      </x:c>
      <x:c r="D15" s="65"/>
      <x:c r="E15" s="65"/>
      <x:c r="F15" s="65"/>
      <x:c r="G15" s="65"/>
      <x:c r="H15" s="65"/>
    </x:row>
    <x:row r="16" ht="50" customHeight="1">
      <x:c r="A16" s="70" t="str">
        <x:v>Critical</x:v>
      </x:c>
      <x:c r="B16" s="70" t="str">
        <x:v>Pervasive failure that prevents reliance on the process or output.</x:v>
      </x:c>
      <x:c r="C16" s="70" t="str">
        <x:v>Stop affected reporting and escalate immediately.</x:v>
      </x:c>
      <x:c r="D16" s="65"/>
      <x:c r="E16" s="65"/>
      <x:c r="F16" s="65"/>
      <x:c r="G16" s="65"/>
      <x:c r="H16" s="65"/>
    </x:row>
    <x:row r="17">
      <x:c r="A17" s="65"/>
      <x:c r="B17" s="65"/>
      <x:c r="C17" s="65"/>
      <x:c r="D17" s="65"/>
      <x:c r="E17" s="65"/>
      <x:c r="F17" s="65"/>
      <x:c r="G17" s="65"/>
      <x:c r="H17" s="65"/>
    </x:row>
    <x:row r="18">
      <x:c r="A18" s="81" t="str">
        <x:v>Current Assessment</x:v>
      </x:c>
      <x:c r="B18" s="81"/>
      <x:c r="C18" s="81"/>
      <x:c r="D18" s="81"/>
      <x:c r="E18" s="81"/>
      <x:c r="F18" s="81"/>
      <x:c r="G18" s="81"/>
      <x:c r="H18" s="81"/>
    </x:row>
    <x:row r="19" ht="26" customHeight="1">
      <x:c r="A19" s="71" t="str">
        <x:v>Two low-severity observations are closed because their dispositions were implemented and documented. One medium-severity scope limitation remains open: full-population performance-to-origination matching must be completed before a final referential-integrity conclusion is reached.</x:v>
      </x:c>
      <x:c r="B19" s="72"/>
      <x:c r="C19" s="72"/>
      <x:c r="D19" s="72"/>
      <x:c r="E19" s="72"/>
      <x:c r="F19" s="72"/>
      <x:c r="G19" s="72"/>
      <x:c r="H19" s="73"/>
    </x:row>
    <x:row r="20" ht="26" customHeight="1">
      <x:c r="A20" s="74"/>
      <x:c r="B20" s="75"/>
      <x:c r="C20" s="75"/>
      <x:c r="D20" s="75"/>
      <x:c r="E20" s="75"/>
      <x:c r="F20" s="75"/>
      <x:c r="G20" s="75"/>
      <x:c r="H20" s="76"/>
    </x:row>
    <x:row r="21" ht="26" customHeight="1">
      <x:c r="A21" s="74"/>
      <x:c r="B21" s="75"/>
      <x:c r="C21" s="75"/>
      <x:c r="D21" s="75"/>
      <x:c r="E21" s="75"/>
      <x:c r="F21" s="75"/>
      <x:c r="G21" s="75"/>
      <x:c r="H21" s="76"/>
    </x:row>
    <x:row r="22" ht="26" customHeight="1">
      <x:c r="A22" s="77"/>
      <x:c r="B22" s="78"/>
      <x:c r="C22" s="78"/>
      <x:c r="D22" s="78"/>
      <x:c r="E22" s="78"/>
      <x:c r="F22" s="78"/>
      <x:c r="G22" s="78"/>
      <x:c r="H22" s="79"/>
    </x:row>
  </x:sheetData>
  <x:mergeCells>
    <x:mergeCell ref="A1:H1"/>
    <x:mergeCell ref="A3:B3"/>
    <x:mergeCell ref="D3:E3"/>
    <x:mergeCell ref="A11:H11"/>
    <x:mergeCell ref="A18:H18"/>
    <x:mergeCell ref="A19:H22"/>
  </x:mergeCells>
  <x:pageMargins left="0.7" right="0.7" top="0.75" bottom="0.75" header="0.3" footer="0.3"/>
</x:worksheet>
</file>