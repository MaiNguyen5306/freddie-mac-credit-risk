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 Projects\freddie-mac-credit-risk\docs\eit\"/>
    </mc:Choice>
  </mc:AlternateContent>
  <xr:revisionPtr revIDLastSave="0" documentId="13_ncr:1_{42E4AFA8-F03E-4C56-8644-5DF2A226787F}" xr6:coauthVersionLast="47" xr6:coauthVersionMax="47" xr10:uidLastSave="{00000000-0000-0000-0000-000000000000}"/>
  <bookViews>
    <workbookView xWindow="-108" yWindow="-108" windowWidth="18648" windowHeight="11784" activeTab="1" xr2:uid="{00000000-000D-0000-FFFF-FFFF00000000}"/>
  </bookViews>
  <sheets>
    <sheet name="Risk-Control Matrix" sheetId="1" r:id="rId1"/>
    <sheet name="Test Summary" sheetId="2" r:id="rId2"/>
    <sheet name="Definit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2" l="1"/>
  <c r="E7" i="2"/>
  <c r="B7" i="2"/>
  <c r="E6" i="2"/>
  <c r="B6" i="2"/>
  <c r="B9" i="2" s="1"/>
  <c r="E5" i="2"/>
  <c r="B5" i="2"/>
</calcChain>
</file>

<file path=xl/sharedStrings.xml><?xml version="1.0" encoding="utf-8"?>
<sst xmlns="http://schemas.openxmlformats.org/spreadsheetml/2006/main" count="264" uniqueCount="204">
  <si>
    <t>Mortgage Data and Credit-Risk Reporting — Risk and Control Matrix</t>
  </si>
  <si>
    <t>Simulated Enterprise Independent Testing case study using public Freddie Mac loan-level data</t>
  </si>
  <si>
    <t>Important limitation: The controls and organizational roles in this workbook are hypothetical. The case study does not assess Freddie Mac's internal controls or claim access to internal systems, procedures, personnel, or evidence.</t>
  </si>
  <si>
    <t>Test ID</t>
  </si>
  <si>
    <t>Priority</t>
  </si>
  <si>
    <t>Process Stage</t>
  </si>
  <si>
    <t>Risk Statement</t>
  </si>
  <si>
    <t>Control Objective</t>
  </si>
  <si>
    <t>Illustrative Control</t>
  </si>
  <si>
    <t>Classification</t>
  </si>
  <si>
    <t>Frequency</t>
  </si>
  <si>
    <t>EIT Testing Procedure</t>
  </si>
  <si>
    <t>Evidence / Workpaper Reference</t>
  </si>
  <si>
    <t>Status</t>
  </si>
  <si>
    <t>Preliminary Conclusion / Next Step</t>
  </si>
  <si>
    <t>EIT-01</t>
  </si>
  <si>
    <t>High</t>
  </si>
  <si>
    <t>Data acquisition and ingestion</t>
  </si>
  <si>
    <t>Incorrect or incomplete file layouts could cause fields to be omitted, shifted, or misinterpreted.</t>
  </si>
  <si>
    <t>Confirm that each received file matches the approved layout before transformation.</t>
  </si>
  <si>
    <t>The ingestion process verifies file existence, column count, field order, and approved schema for each vintage.</t>
  </si>
  <si>
    <t>Preventive / Automated</t>
  </si>
  <si>
    <t>Per file load</t>
  </si>
  <si>
    <t>Compare detected file structure with the documented schema; investigate every mismatch before processing continues.</t>
  </si>
  <si>
    <t>Partially Complete</t>
  </si>
  <si>
    <t>EIT-02</t>
  </si>
  <si>
    <t>Data ingestion</t>
  </si>
  <si>
    <t>Records could be lost or duplicated during cleaning and export, producing incomplete or overstated reporting populations.</t>
  </si>
  <si>
    <t>Preserve population completeness from raw ingestion through the processed output.</t>
  </si>
  <si>
    <t>Row counts are reconciled between raw, cleaned, exported, and reloaded datasets.</t>
  </si>
  <si>
    <t>Detective / Automated</t>
  </si>
  <si>
    <t>Per data refresh</t>
  </si>
  <si>
    <t>Compare population counts at each processing stage and investigate any nonzero difference.</t>
  </si>
  <si>
    <t>01_data_audit.ipynb — cleaning_check, export_check, parquet_validation</t>
  </si>
  <si>
    <t>Complete</t>
  </si>
  <si>
    <t>Pass — 200,000 raw, cleaned, exported, and reloaded origination records reconciled.</t>
  </si>
  <si>
    <t>EIT-03</t>
  </si>
  <si>
    <t>Data validation</t>
  </si>
  <si>
    <t>Missing or duplicate loan identifiers could prevent accurate record tracing and distort portfolio results.</t>
  </si>
  <si>
    <t>Ensure every origination record has one valid and unique loan identifier.</t>
  </si>
  <si>
    <t>The pipeline tests identifiers for nulls and duplicates before downstream processing.</t>
  </si>
  <si>
    <t>Calculate missing and duplicate identifier counts and require both results to equal zero.</t>
  </si>
  <si>
    <t>01_data_audit.ipynb — schema_check and cleaning_check</t>
  </si>
  <si>
    <t>Pass — all 200,000 origination identifiers were unique and nonmissing.</t>
  </si>
  <si>
    <t>EIT-04</t>
  </si>
  <si>
    <t>Data integration</t>
  </si>
  <si>
    <t>Performance records could be linked to nonexistent or incorrect origination loans.</t>
  </si>
  <si>
    <t>Ensure every monthly performance record can be traced to a valid origination record.</t>
  </si>
  <si>
    <t>Referential-integrity testing compares performance identifiers with the approved origination population.</t>
  </si>
  <si>
    <t>Per performance load</t>
  </si>
  <si>
    <t>Test the full performance population for unmatched loan identifiers and investigate all exceptions.</t>
  </si>
  <si>
    <t>EIT-05</t>
  </si>
  <si>
    <t>Medium</t>
  </si>
  <si>
    <t>Data transformation</t>
  </si>
  <si>
    <t>Freddie Mac missing-value codes could be interpreted as real borrower or loan values.</t>
  </si>
  <si>
    <t>Convert approved blank and sentinel codes consistently without overwriting raw source data.</t>
  </si>
  <si>
    <t>Documented field-level rules convert blank and sentinel values to proper nulls in a separate cleaned table.</t>
  </si>
  <si>
    <t>Compare missingness before and after transformation by field and vintage; confirm percentages reconcile.</t>
  </si>
  <si>
    <t>01_data_audit.ipynb — missing_value_audit, missing_by_vintage, clean_missing_check</t>
  </si>
  <si>
    <t>Pass — missingness reconciled after sentinel-to-null conversion.</t>
  </si>
  <si>
    <t>EIT-06</t>
  </si>
  <si>
    <t>Incorrect data types or date parsing could produce invalid calculations and reporting periods.</t>
  </si>
  <si>
    <t>Assign valid numeric and date types using documented conversion rules.</t>
  </si>
  <si>
    <t>Numeric and YYYYMM date fields are converted with invalid values directed to null for review.</t>
  </si>
  <si>
    <t>Validate converted field types, date formats, and unexpected conversion failures.</t>
  </si>
  <si>
    <t>01_data_audit.ipynb — originations_clean creation and validation</t>
  </si>
  <si>
    <t>Pass — numeric and date conversions completed without changing the record population.</t>
  </si>
  <si>
    <t>EIT-07</t>
  </si>
  <si>
    <t>Out-of-range values or unexpected category codes could enter risk calculations undetected.</t>
  </si>
  <si>
    <t>Identify values outside documented review ranges and approved category sets.</t>
  </si>
  <si>
    <t>Automated range and category tests flag exceptions for investigation.</t>
  </si>
  <si>
    <t>Calculate observed minima, maxima, invalid-code counts, and exception populations for every governed field.</t>
  </si>
  <si>
    <t>01_data_audit.ipynb — numeric_range_check and category_check</t>
  </si>
  <si>
    <t>Pass with review items — ordinary fields passed; three high-ratio loans required investigation.</t>
  </si>
  <si>
    <t>EIT-08</t>
  </si>
  <si>
    <t>Exception management</t>
  </si>
  <si>
    <t>Valid unusual records could be removed, while genuine errors could be retained, if exceptions are not investigated consistently.</t>
  </si>
  <si>
    <t>Require documented review and disposition of material data exceptions.</t>
  </si>
  <si>
    <t>Flagged records are evaluated using related attributes and supporting definitions before retention, correction, or exclusion.</t>
  </si>
  <si>
    <t>Detective / Manual</t>
  </si>
  <si>
    <t>As exceptions occur</t>
  </si>
  <si>
    <t>Inspect supporting fields, document rationale and evidence, assign disposition, and retain a reproducible review flag.</t>
  </si>
  <si>
    <t>01_data_audit.ipynb — ratio_review and extreme_ratio_review_flag</t>
  </si>
  <si>
    <t>Pass — three reviewed records were legitimate HARP observations and were retained with a review flag.</t>
  </si>
  <si>
    <t>EIT-09</t>
  </si>
  <si>
    <t>Monthly performance validation</t>
  </si>
  <si>
    <t>Duplicate loan-month records could overstate balances, delinquency events, or transition counts.</t>
  </si>
  <si>
    <t>Ensure each loan has no more than one record per monthly reporting period.</t>
  </si>
  <si>
    <t>A composite loan-identifier and reporting-period uniqueness check identifies duplicates.</t>
  </si>
  <si>
    <t>Count duplicate loan-month keys by vintage and inspect every duplicate population.</t>
  </si>
  <si>
    <t>Not Started</t>
  </si>
  <si>
    <t>EIT-10</t>
  </si>
  <si>
    <t>Invalid reporting periods or loan ages could create impossible timelines and misleading vintage comparisons.</t>
  </si>
  <si>
    <t>Ensure performance dates and loan ages are chronologically valid and internally consistent.</t>
  </si>
  <si>
    <t>Date and loan-age validation compares first-payment date, reporting period, loan age, and maturity information.</t>
  </si>
  <si>
    <t>Test for invalid dates, negative ages, nonsequential periods, and inconsistencies between calculated and reported loan age.</t>
  </si>
  <si>
    <t>EIT-11</t>
  </si>
  <si>
    <t>Invalid delinquency-status values could misclassify portfolio risk and default outcomes.</t>
  </si>
  <si>
    <t>Restrict delinquency statuses to approved values and documented treatments.</t>
  </si>
  <si>
    <t>The pipeline validates status codes before calculating delinquency events or transitions.</t>
  </si>
  <si>
    <t>Profile status values by vintage, compare them with approved definitions, and document treatment of special codes.</t>
  </si>
  <si>
    <t>EIT-12</t>
  </si>
  <si>
    <t>Outcome-window construction</t>
  </si>
  <si>
    <t>Loans with incomplete observation windows could be incorrectly classified as nondefault.</t>
  </si>
  <si>
    <t>Include only loans with sufficient performance coverage for the selected outcome horizon.</t>
  </si>
  <si>
    <t>Eligibility rules verify 24- or 36-month coverage before assigning a negative outcome.</t>
  </si>
  <si>
    <t>Per outcome build</t>
  </si>
  <si>
    <t>Measure available follow-up for every loan and exclude or separately label loans without the required horizon.</t>
  </si>
  <si>
    <t>EIT-13</t>
  </si>
  <si>
    <t>Risk-measure calculation</t>
  </si>
  <si>
    <t>Coding errors could produce incorrect delinquency or default outcomes.</t>
  </si>
  <si>
    <t>Ensure loan-level outcomes agree with the underlying monthly performance records.</t>
  </si>
  <si>
    <t>An independent recalculation and targeted sample review validates derived 90-plus-day delinquency flags.</t>
  </si>
  <si>
    <t>Detective / Hybrid</t>
  </si>
  <si>
    <t>Per methodology change</t>
  </si>
  <si>
    <t>Recalculate outcomes independently for selected loans and reconcile event dates and statuses to the production logic.</t>
  </si>
  <si>
    <t>EIT-14</t>
  </si>
  <si>
    <t>Model development</t>
  </si>
  <si>
    <t>Future performance information could leak into model predictors and overstate model effectiveness.</t>
  </si>
  <si>
    <t>Separate predictor observation dates from outcome periods and prohibit post-origination predictors in the baseline PD model.</t>
  </si>
  <si>
    <t>A documented feature review and time-based train-test split prevent future-information leakage.</t>
  </si>
  <si>
    <t>Preventive / Manual</t>
  </si>
  <si>
    <t>Per model version</t>
  </si>
  <si>
    <t>Review every predictor's availability date and validate the 2015–2016 training and 2017 testing design.</t>
  </si>
  <si>
    <t>EIT-15</t>
  </si>
  <si>
    <t>Reporting and monitoring</t>
  </si>
  <si>
    <t>Dashboards or reports could disagree with validated analytical populations and calculations.</t>
  </si>
  <si>
    <t>Reconcile reported totals and risk indicators to approved processed data and independent calculations.</t>
  </si>
  <si>
    <t>Reporting outputs are tied to controlled summary tables and checked against source-population totals.</t>
  </si>
  <si>
    <t>Per reporting cycle</t>
  </si>
  <si>
    <t>Reperform key totals, compare report and source populations, and document differences and remediation.</t>
  </si>
  <si>
    <t>Testing results summary and dashboard reconciliation — planned</t>
  </si>
  <si>
    <t>Execute when portfolio summaries and monitoring outputs are available.</t>
  </si>
  <si>
    <t>EIT Testing Summary</t>
  </si>
  <si>
    <t>Progress and priorities derived from the Risk-Control Matrix</t>
  </si>
  <si>
    <t>Testing Progress</t>
  </si>
  <si>
    <t>Risk Priorities</t>
  </si>
  <si>
    <t>Total tests</t>
  </si>
  <si>
    <t>Partially complete</t>
  </si>
  <si>
    <t>Low</t>
  </si>
  <si>
    <t>Not started</t>
  </si>
  <si>
    <t>Completion rate</t>
  </si>
  <si>
    <t>Current Assessment</t>
  </si>
  <si>
    <t>The completed origination audit provides evidence of data completeness, identifier integrity, missing-value treatment, range and category validation, and documented exception review. The strongest remaining gap is control testing over the full monthly performance population and the derived delinquency outcomes.</t>
  </si>
  <si>
    <t>Next Testing Phase</t>
  </si>
  <si>
    <t>Create 02_performance_audit.ipynb and process one vintage at a time in memory-safe chunks. Confirm the performance schema, population completeness, duplicate loan-month records, reporting periods, loan ages, delinquency statuses, follow-up coverage, and full-population referential integrity before constructing 24- and 36-month outcomes.</t>
  </si>
  <si>
    <t>Definitions and Scope Notes</t>
  </si>
  <si>
    <t>Category</t>
  </si>
  <si>
    <t>Term</t>
  </si>
  <si>
    <t>Definition</t>
  </si>
  <si>
    <t>Application in this case study</t>
  </si>
  <si>
    <t>Scope</t>
  </si>
  <si>
    <t>Simulated EIT case study</t>
  </si>
  <si>
    <t>A portfolio exercise that applies independent-testing concepts to a hypothetical mortgage data process.</t>
  </si>
  <si>
    <t>Does not represent an assessment of Freddie Mac's internal controls.</t>
  </si>
  <si>
    <t>The planned procedure has been executed and evidence supports a preliminary conclusion.</t>
  </si>
  <si>
    <t>Six origination-data tests currently meet this definition.</t>
  </si>
  <si>
    <t>Some testing has been performed, but the intended population or control scope is not yet fully covered.</t>
  </si>
  <si>
    <t>Used for schema and referential-integrity testing pending full performance-file work.</t>
  </si>
  <si>
    <t>The procedure is designed but has not yet been executed.</t>
  </si>
  <si>
    <t>Primarily applies to monthly performance, outcome, model, and reporting tests.</t>
  </si>
  <si>
    <t>Preventive</t>
  </si>
  <si>
    <t>Designed to stop invalid or unauthorized processing before it affects downstream outputs.</t>
  </si>
  <si>
    <t>Examples include schema gates and approved feature-date reviews.</t>
  </si>
  <si>
    <t>Detective</t>
  </si>
  <si>
    <t>Designed to identify errors or exceptions after data is received or processed.</t>
  </si>
  <si>
    <t>Examples include reconciliations, duplicate checks, and exception reviews.</t>
  </si>
  <si>
    <t>Execution</t>
  </si>
  <si>
    <t>Automated</t>
  </si>
  <si>
    <t>Performed consistently through programmed rules or scripts.</t>
  </si>
  <si>
    <t>Most population-level data tests are automated in Python.</t>
  </si>
  <si>
    <t>Manual</t>
  </si>
  <si>
    <t>Requires human judgment, review, or documented disposition.</t>
  </si>
  <si>
    <t>Used for exception investigation and methodology review.</t>
  </si>
  <si>
    <t>Hybrid</t>
  </si>
  <si>
    <t>Combines automated calculations with manual review or approval.</t>
  </si>
  <si>
    <t>Used for outcome validation and reporting reconciliation.</t>
  </si>
  <si>
    <t>Evidence</t>
  </si>
  <si>
    <t>01_data_audit.ipynb</t>
  </si>
  <si>
    <t>Completed origination audit through export and reload validation.</t>
  </si>
  <si>
    <t>Primary evidence for EIT-01 through EIT-08.</t>
  </si>
  <si>
    <t>02_performance_audit.ipynb</t>
  </si>
  <si>
    <t>Planned memory-safe audit of monthly performance files.</t>
  </si>
  <si>
    <t>Will support EIT-01, EIT-04, and EIT-09 through EIT-12.</t>
  </si>
  <si>
    <t>Data constraint</t>
  </si>
  <si>
    <t>8 GB RAM</t>
  </si>
  <si>
    <t>The computer cannot safely load every monthly performance file simultaneously.</t>
  </si>
  <si>
    <t>Process one vintage at a time, read chunks, retain needed columns, and save compact outputs.</t>
  </si>
  <si>
    <t>01_data_audit.ipynb — official origination schema; 02_performance_audit.ipynb — 35-field performance schema verified for all four vintages</t>
  </si>
  <si>
    <t>Pass — origination and monthly performance file structures matched the approved schemas for all four vintages.</t>
  </si>
  <si>
    <t>02_performance_audit.ipynb — full-population identifier reconciliation; 04_performance_testing_workpaper.md</t>
  </si>
  <si>
    <t>Pass — all 12,850,534 performance records and 200,000 vintage-level loan IDs matched the origination population. No unmatched identifiers were identified.</t>
  </si>
  <si>
    <t>02_performance_audit.ipynb — duplicate loan-month and sorting tests; 04_performance_testing_workpaper.md</t>
  </si>
  <si>
    <t>Pass — no duplicate loan-month combinations were identified across 12,850,534 performance records.</t>
  </si>
  <si>
    <t>02_performance_audit.ipynb — chronology, loan-age, and maturity reconciliation; 04_performance_testing_workpaper.md; exception log E-01 and L-02</t>
  </si>
  <si>
    <t>Pass with isolated low-severity exception — no sorting violations were identified. One loan contained 37 remaining-maturity discrepancies, and one modified record could not be independently recalculated.</t>
  </si>
  <si>
    <t>02_performance_audit.ipynb — delinquency-status and performance-value validation; 04_performance_testing_workpaper.md</t>
  </si>
  <si>
    <t>Pass — no invalid delinquency statuses, modification flags, zero-balance codes, tested date formats, or Current Actual UPB values were identified.</t>
  </si>
  <si>
    <t>03_outcome_construction.ipynb — full-population outcome eligibility and censoring tests; 05_outcome_testing_workpaper.md</t>
  </si>
  <si>
    <t>Pass — 12-, 24-, and 36-month outcome windows were constructed for 200,000 loans. Eligibility and censoring classifications reconciled without exception.</t>
  </si>
  <si>
    <t>03_outcome_construction.ipynb — independent 120-loan outcome recalculation; 05_outcome_testing_workpaper.md</t>
  </si>
  <si>
    <t>Pass — 120 stratified sample loans and 6,791 raw performance records were independently recalculated. All outcomes, observation windows, eligibility classifications, and censoring classifications matched.</t>
  </si>
  <si>
    <t>04_feature_engineering.ipynb — time-based split, feature manifest, stability and leakage controls; 06_feature_leakage_workpaper.md</t>
  </si>
  <si>
    <t>Feature selection, 2015–2016 development and 2017 test separation, categorical stability, and predictor-level leakage controls passed. Final model-pipeline fitting and methodology review remain.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</si>
</sst>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name val="Carlito"/>
    </font>
    <font>
      <b/>
      <sz val="16"/>
      <color rgb="FFFFFFFF"/>
      <name val="Carlito"/>
    </font>
    <font>
      <i/>
      <sz val="11"/>
      <color rgb="FF44546A"/>
      <name val="Carlito"/>
    </font>
    <font>
      <sz val="10"/>
      <color rgb="FF595959"/>
      <name val="Carlito"/>
    </font>
    <font>
      <sz val="10"/>
      <color rgb="FF222222"/>
      <name val="Aptos"/>
    </font>
    <font>
      <b/>
      <sz val="10"/>
      <color rgb="FFFFFFFF"/>
      <name val="Aptos"/>
    </font>
    <font>
      <b/>
      <sz val="11"/>
      <color rgb="FF222222"/>
      <name val="Aptos"/>
    </font>
    <font>
      <i/>
      <sz val="11"/>
      <color rgb="FF222222"/>
      <name val="Aptos"/>
    </font>
    <font>
      <sz val="11"/>
      <color rgb="FF222222"/>
      <name val="Aptos"/>
    </font>
    <font>
      <b/>
      <sz val="16"/>
      <color rgb="FFFFFFFF"/>
      <name val="Aptos Display"/>
    </font>
    <font>
      <b/>
      <sz val="11"/>
      <color rgb="FFFFFFFF"/>
      <name val="Aptos"/>
    </font>
    <font>
      <sz val="10"/>
      <name val="Aptos"/>
    </font>
    <font>
      <b/>
      <sz val="10"/>
      <color rgb="FF2F5597"/>
      <name val="Aptos"/>
    </font>
  </fonts>
  <fills count="7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EDF4FA"/>
      </patternFill>
    </fill>
    <fill>
      <patternFill patternType="solid">
        <fgColor rgb="FFF2F2F2"/>
      </patternFill>
    </fill>
    <fill>
      <patternFill patternType="solid">
        <fgColor rgb="FFF7FBFF"/>
      </patternFill>
    </fill>
    <fill>
      <patternFill patternType="solid">
        <fgColor rgb="FFFFF9E6"/>
      </patternFill>
    </fill>
  </fills>
  <borders count="28">
    <border>
      <left/>
      <right/>
      <top/>
      <bottom/>
      <diagonal/>
    </border>
    <border>
      <left style="thin">
        <color rgb="FFC9C9C9"/>
      </left>
      <right/>
      <top style="thin">
        <color rgb="FFC9C9C9"/>
      </top>
      <bottom/>
      <diagonal/>
    </border>
    <border>
      <left/>
      <right/>
      <top style="thin">
        <color rgb="FFC9C9C9"/>
      </top>
      <bottom/>
      <diagonal/>
    </border>
    <border>
      <left/>
      <right style="thin">
        <color rgb="FFC9C9C9"/>
      </right>
      <top style="thin">
        <color rgb="FFC9C9C9"/>
      </top>
      <bottom/>
      <diagonal/>
    </border>
    <border>
      <left style="thin">
        <color rgb="FFC9C9C9"/>
      </left>
      <right/>
      <top/>
      <bottom style="thin">
        <color rgb="FFC9C9C9"/>
      </bottom>
      <diagonal/>
    </border>
    <border>
      <left/>
      <right/>
      <top/>
      <bottom style="thin">
        <color rgb="FFC9C9C9"/>
      </bottom>
      <diagonal/>
    </border>
    <border>
      <left/>
      <right style="thin">
        <color rgb="FFC9C9C9"/>
      </right>
      <top/>
      <bottom style="thin">
        <color rgb="FFC9C9C9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A6A6A6"/>
      </bottom>
      <diagonal/>
    </border>
    <border>
      <left style="thin">
        <color rgb="FFB4C6E7"/>
      </left>
      <right/>
      <top style="thin">
        <color rgb="FFB4C6E7"/>
      </top>
      <bottom/>
      <diagonal/>
    </border>
    <border>
      <left/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  <border>
      <left style="thin">
        <color rgb="FFB4C6E7"/>
      </left>
      <right/>
      <top/>
      <bottom/>
      <diagonal/>
    </border>
    <border>
      <left/>
      <right style="thin">
        <color rgb="FFB4C6E7"/>
      </right>
      <top/>
      <bottom/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/>
      <top/>
      <bottom style="thin">
        <color rgb="FFB4C6E7"/>
      </bottom>
      <diagonal/>
    </border>
    <border>
      <left/>
      <right style="thin">
        <color rgb="FFB4C6E7"/>
      </right>
      <top/>
      <bottom style="thin">
        <color rgb="FFB4C6E7"/>
      </bottom>
      <diagonal/>
    </border>
    <border>
      <left style="thin">
        <color rgb="FFD6B656"/>
      </left>
      <right/>
      <top style="thin">
        <color rgb="FFD6B656"/>
      </top>
      <bottom/>
      <diagonal/>
    </border>
    <border>
      <left/>
      <right/>
      <top style="thin">
        <color rgb="FFD6B656"/>
      </top>
      <bottom/>
      <diagonal/>
    </border>
    <border>
      <left/>
      <right style="thin">
        <color rgb="FFD6B656"/>
      </right>
      <top style="thin">
        <color rgb="FFD6B656"/>
      </top>
      <bottom/>
      <diagonal/>
    </border>
    <border>
      <left style="thin">
        <color rgb="FFD6B656"/>
      </left>
      <right/>
      <top/>
      <bottom/>
      <diagonal/>
    </border>
    <border>
      <left/>
      <right style="thin">
        <color rgb="FFD6B656"/>
      </right>
      <top/>
      <bottom/>
      <diagonal/>
    </border>
    <border>
      <left style="thin">
        <color rgb="FFD6B656"/>
      </left>
      <right/>
      <top/>
      <bottom style="thin">
        <color rgb="FFD6B656"/>
      </bottom>
      <diagonal/>
    </border>
    <border>
      <left/>
      <right/>
      <top/>
      <bottom style="thin">
        <color rgb="FFD6B656"/>
      </bottom>
      <diagonal/>
    </border>
    <border>
      <left/>
      <right style="thin">
        <color rgb="FFD6B656"/>
      </right>
      <top/>
      <bottom style="thin">
        <color rgb="FFD6B656"/>
      </bottom>
      <diagonal/>
    </border>
    <border>
      <left/>
      <right/>
      <top style="thin">
        <color rgb="FFD9E2F3"/>
      </top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5" fillId="2" borderId="7" xfId="0" applyFont="1" applyFill="1" applyBorder="1" applyAlignment="1">
      <alignment horizontal="center" vertical="center" wrapText="1"/>
    </xf>
    <xf numFmtId="0" fontId="4" fillId="0" borderId="8" xfId="0" applyFont="1" applyBorder="1" applyAlignment="1">
      <alignment vertical="top" wrapText="1"/>
    </xf>
    <xf numFmtId="0" fontId="4" fillId="0" borderId="9" xfId="0" applyFont="1" applyBorder="1" applyAlignment="1">
      <alignment vertical="top" wrapText="1"/>
    </xf>
    <xf numFmtId="0" fontId="4" fillId="0" borderId="10" xfId="0" applyFont="1" applyBorder="1" applyAlignment="1">
      <alignment vertical="top" wrapText="1"/>
    </xf>
    <xf numFmtId="0" fontId="4" fillId="0" borderId="8" xfId="0" applyFont="1" applyBorder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8" fillId="0" borderId="0" xfId="0" applyFont="1"/>
    <xf numFmtId="0" fontId="8" fillId="3" borderId="7" xfId="0" applyFont="1" applyFill="1" applyBorder="1"/>
    <xf numFmtId="0" fontId="6" fillId="0" borderId="7" xfId="0" applyFont="1" applyBorder="1"/>
    <xf numFmtId="9" fontId="6" fillId="0" borderId="7" xfId="0" applyNumberFormat="1" applyFont="1" applyBorder="1"/>
    <xf numFmtId="0" fontId="5" fillId="2" borderId="0" xfId="0" applyFont="1" applyFill="1" applyAlignment="1">
      <alignment horizontal="center" vertical="top" wrapText="1"/>
    </xf>
    <xf numFmtId="0" fontId="11" fillId="0" borderId="8" xfId="0" applyFont="1" applyBorder="1" applyAlignment="1">
      <alignment vertical="top" wrapText="1"/>
    </xf>
    <xf numFmtId="0" fontId="11" fillId="0" borderId="9" xfId="0" applyFont="1" applyBorder="1" applyAlignment="1">
      <alignment vertical="top" wrapText="1"/>
    </xf>
    <xf numFmtId="0" fontId="11" fillId="0" borderId="27" xfId="0" applyFont="1" applyBorder="1" applyAlignment="1">
      <alignment vertical="top" wrapText="1"/>
    </xf>
    <xf numFmtId="0" fontId="12" fillId="3" borderId="8" xfId="0" applyFont="1" applyFill="1" applyBorder="1" applyAlignment="1">
      <alignment vertical="top" wrapText="1"/>
    </xf>
    <xf numFmtId="0" fontId="12" fillId="0" borderId="8" xfId="0" applyFont="1" applyBorder="1" applyAlignment="1">
      <alignment vertical="top" wrapText="1"/>
    </xf>
    <xf numFmtId="0" fontId="12" fillId="3" borderId="9" xfId="0" applyFont="1" applyFill="1" applyBorder="1" applyAlignment="1">
      <alignment vertical="top" wrapText="1"/>
    </xf>
    <xf numFmtId="0" fontId="12" fillId="0" borderId="9" xfId="0" applyFont="1" applyBorder="1" applyAlignment="1">
      <alignment vertical="top" wrapText="1"/>
    </xf>
    <xf numFmtId="0" fontId="12" fillId="3" borderId="27" xfId="0" applyFont="1" applyFill="1" applyBorder="1" applyAlignment="1">
      <alignment vertical="top" wrapText="1"/>
    </xf>
    <xf numFmtId="0" fontId="12" fillId="0" borderId="27" xfId="0" applyFont="1" applyBorder="1" applyAlignment="1">
      <alignment vertical="top" wrapText="1"/>
    </xf>
    <xf numFmtId="0" fontId="8" fillId="5" borderId="11" xfId="0" applyFont="1" applyFill="1" applyBorder="1" applyAlignment="1">
      <alignment vertical="center" wrapText="1"/>
    </xf>
    <xf numFmtId="0" fontId="8" fillId="5" borderId="12" xfId="0" applyFont="1" applyFill="1" applyBorder="1" applyAlignment="1">
      <alignment vertical="center" wrapText="1"/>
    </xf>
    <xf numFmtId="0" fontId="8" fillId="5" borderId="13" xfId="0" applyFont="1" applyFill="1" applyBorder="1" applyAlignment="1">
      <alignment vertical="center" wrapText="1"/>
    </xf>
    <xf numFmtId="0" fontId="8" fillId="5" borderId="14" xfId="0" applyFont="1" applyFill="1" applyBorder="1" applyAlignment="1">
      <alignment vertical="center" wrapText="1"/>
    </xf>
    <xf numFmtId="0" fontId="8" fillId="5" borderId="0" xfId="0" applyFont="1" applyFill="1" applyAlignment="1">
      <alignment vertical="center" wrapText="1"/>
    </xf>
    <xf numFmtId="0" fontId="8" fillId="5" borderId="15" xfId="0" applyFont="1" applyFill="1" applyBorder="1" applyAlignment="1">
      <alignment vertical="center" wrapText="1"/>
    </xf>
    <xf numFmtId="0" fontId="8" fillId="5" borderId="16" xfId="0" applyFont="1" applyFill="1" applyBorder="1" applyAlignment="1">
      <alignment vertical="center" wrapText="1"/>
    </xf>
    <xf numFmtId="0" fontId="8" fillId="5" borderId="17" xfId="0" applyFont="1" applyFill="1" applyBorder="1" applyAlignment="1">
      <alignment vertical="center" wrapText="1"/>
    </xf>
    <xf numFmtId="0" fontId="8" fillId="5" borderId="18" xfId="0" applyFont="1" applyFill="1" applyBorder="1" applyAlignment="1">
      <alignment vertical="center" wrapText="1"/>
    </xf>
    <xf numFmtId="0" fontId="10" fillId="2" borderId="0" xfId="0" applyFont="1" applyFill="1"/>
    <xf numFmtId="0" fontId="8" fillId="6" borderId="19" xfId="0" applyFont="1" applyFill="1" applyBorder="1" applyAlignment="1">
      <alignment vertical="center" wrapText="1"/>
    </xf>
    <xf numFmtId="0" fontId="8" fillId="6" borderId="20" xfId="0" applyFont="1" applyFill="1" applyBorder="1" applyAlignment="1">
      <alignment vertical="center" wrapText="1"/>
    </xf>
    <xf numFmtId="0" fontId="8" fillId="6" borderId="21" xfId="0" applyFont="1" applyFill="1" applyBorder="1" applyAlignment="1">
      <alignment vertical="center" wrapText="1"/>
    </xf>
    <xf numFmtId="0" fontId="8" fillId="6" borderId="22" xfId="0" applyFont="1" applyFill="1" applyBorder="1" applyAlignment="1">
      <alignment vertical="center" wrapText="1"/>
    </xf>
    <xf numFmtId="0" fontId="8" fillId="6" borderId="0" xfId="0" applyFont="1" applyFill="1" applyAlignment="1">
      <alignment vertical="center" wrapText="1"/>
    </xf>
    <xf numFmtId="0" fontId="8" fillId="6" borderId="23" xfId="0" applyFont="1" applyFill="1" applyBorder="1" applyAlignment="1">
      <alignment vertical="center" wrapText="1"/>
    </xf>
    <xf numFmtId="0" fontId="8" fillId="6" borderId="24" xfId="0" applyFont="1" applyFill="1" applyBorder="1" applyAlignment="1">
      <alignment vertical="center" wrapText="1"/>
    </xf>
    <xf numFmtId="0" fontId="8" fillId="6" borderId="25" xfId="0" applyFont="1" applyFill="1" applyBorder="1" applyAlignment="1">
      <alignment vertical="center" wrapText="1"/>
    </xf>
    <xf numFmtId="0" fontId="8" fillId="6" borderId="26" xfId="0" applyFont="1" applyFill="1" applyBorder="1" applyAlignment="1">
      <alignment vertical="center" wrapText="1"/>
    </xf>
    <xf numFmtId="0" fontId="9" fillId="2" borderId="0" xfId="0" applyFont="1" applyFill="1" applyAlignment="1">
      <alignment vertical="center"/>
    </xf>
    <xf numFmtId="0" fontId="7" fillId="3" borderId="0" xfId="0" applyFont="1" applyFill="1"/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wrapText="1"/>
    </xf>
    <xf numFmtId="0" fontId="3" fillId="4" borderId="1" xfId="0" applyFont="1" applyFill="1" applyBorder="1" applyAlignment="1">
      <alignment vertical="center" wrapText="1"/>
    </xf>
    <xf numFmtId="0" fontId="3" fillId="4" borderId="2" xfId="0" applyFont="1" applyFill="1" applyBorder="1" applyAlignment="1">
      <alignment vertical="center" wrapText="1"/>
    </xf>
    <xf numFmtId="0" fontId="3" fillId="4" borderId="3" xfId="0" applyFont="1" applyFill="1" applyBorder="1" applyAlignment="1">
      <alignment vertical="center" wrapText="1"/>
    </xf>
    <xf numFmtId="0" fontId="3" fillId="4" borderId="4" xfId="0" applyFont="1" applyFill="1" applyBorder="1" applyAlignment="1">
      <alignment vertical="center" wrapText="1"/>
    </xf>
    <xf numFmtId="0" fontId="3" fillId="4" borderId="5" xfId="0" applyFont="1" applyFill="1" applyBorder="1" applyAlignment="1">
      <alignment vertical="center" wrapText="1"/>
    </xf>
    <xf numFmtId="0" fontId="3" fillId="4" borderId="6" xfId="0" applyFont="1" applyFill="1" applyBorder="1" applyAlignment="1">
      <alignment vertical="center" wrapText="1"/>
    </xf>
    <xf numFmtId="0" fontId="1" fillId="2" borderId="0" xfId="0" applyFont="1" applyFill="1"/>
  </cellXfs>
  <cellStyles count="1">
    <cellStyle name="Normal" xfId="0" builtinId="0"/>
  </cellStyles>
  <dxfs count="5">
    <dxf>
      <font>
        <color rgb="FF595959"/>
      </font>
      <fill>
        <patternFill patternType="solid">
          <bgColor rgb="FFE7E6E6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iskControlMatrixTable" displayName="RiskControlMatrixTable" ref="A6:L21" totalsRowShown="0">
  <tableColumns count="12">
    <tableColumn id="1" xr3:uid="{00000000-0010-0000-0000-000001000000}" name="Test ID"/>
    <tableColumn id="2" xr3:uid="{00000000-0010-0000-0000-000002000000}" name="Priority"/>
    <tableColumn id="3" xr3:uid="{00000000-0010-0000-0000-000003000000}" name="Process Stage"/>
    <tableColumn id="4" xr3:uid="{00000000-0010-0000-0000-000004000000}" name="Risk Statement"/>
    <tableColumn id="5" xr3:uid="{00000000-0010-0000-0000-000005000000}" name="Control Objective"/>
    <tableColumn id="6" xr3:uid="{00000000-0010-0000-0000-000006000000}" name="Illustrative Control"/>
    <tableColumn id="7" xr3:uid="{00000000-0010-0000-0000-000007000000}" name="Classification"/>
    <tableColumn id="8" xr3:uid="{00000000-0010-0000-0000-000008000000}" name="Frequency"/>
    <tableColumn id="9" xr3:uid="{00000000-0010-0000-0000-000009000000}" name="EIT Testing Procedure"/>
    <tableColumn id="10" xr3:uid="{00000000-0010-0000-0000-00000A000000}" name="Evidence / Workpaper Reference"/>
    <tableColumn id="11" xr3:uid="{00000000-0010-0000-0000-00000B000000}" name="Status"/>
    <tableColumn id="12" xr3:uid="{00000000-0010-0000-0000-00000C000000}" name="Preliminary Conclusion / Next Step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efinitionsTable" displayName="DefinitionsTable" ref="A3:D15" totalsRowShown="0">
  <tableColumns count="4">
    <tableColumn id="1" xr3:uid="{00000000-0010-0000-0100-000001000000}" name="Category"/>
    <tableColumn id="2" xr3:uid="{00000000-0010-0000-0100-000002000000}" name="Term"/>
    <tableColumn id="3" xr3:uid="{00000000-0010-0000-0100-000003000000}" name="Definition"/>
    <tableColumn id="4" xr3:uid="{00000000-0010-0000-0100-000004000000}" name="Application in this case stud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"/>
  <sheetViews>
    <sheetView showGridLines="0" topLeftCell="J18" workbookViewId="0">
      <selection activeCell="L21" sqref="L21"/>
    </sheetView>
  </sheetViews>
  <sheetFormatPr defaultRowHeight="13.8"/>
  <cols>
    <col min="1" max="1" width="11" customWidth="1"/>
    <col min="2" max="2" width="10" customWidth="1"/>
    <col min="3" max="3" width="23" customWidth="1"/>
    <col min="4" max="4" width="38" customWidth="1"/>
    <col min="5" max="5" width="36" customWidth="1"/>
    <col min="6" max="6" width="42" customWidth="1"/>
    <col min="7" max="7" width="22" customWidth="1"/>
    <col min="8" max="8" width="18" customWidth="1"/>
    <col min="9" max="9" width="46" customWidth="1"/>
    <col min="10" max="10" width="40" customWidth="1"/>
    <col min="11" max="11" width="19" customWidth="1"/>
    <col min="12" max="12" width="44" customWidth="1"/>
  </cols>
  <sheetData>
    <row r="1" spans="1:12" ht="30" customHeight="1">
      <c r="A1" s="44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</row>
    <row r="2" spans="1:12" ht="24" customHeight="1">
      <c r="A2" s="45" t="s">
        <v>1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</row>
    <row r="3" spans="1:12">
      <c r="A3" s="46" t="s">
        <v>2</v>
      </c>
      <c r="B3" s="47"/>
      <c r="C3" s="47"/>
      <c r="D3" s="47"/>
      <c r="E3" s="47"/>
      <c r="F3" s="47"/>
      <c r="G3" s="47"/>
      <c r="H3" s="47"/>
      <c r="I3" s="47"/>
      <c r="J3" s="47"/>
      <c r="K3" s="47"/>
      <c r="L3" s="48"/>
    </row>
    <row r="4" spans="1:12">
      <c r="A4" s="49"/>
      <c r="B4" s="50"/>
      <c r="C4" s="50"/>
      <c r="D4" s="50"/>
      <c r="E4" s="50"/>
      <c r="F4" s="50"/>
      <c r="G4" s="50"/>
      <c r="H4" s="50"/>
      <c r="I4" s="50"/>
      <c r="J4" s="50"/>
      <c r="K4" s="50"/>
      <c r="L4" s="51"/>
    </row>
    <row r="6" spans="1:12" ht="42" customHeight="1">
      <c r="A6" s="1" t="s">
        <v>3</v>
      </c>
      <c r="B6" s="1" t="s">
        <v>4</v>
      </c>
      <c r="C6" s="1" t="s">
        <v>5</v>
      </c>
      <c r="D6" s="1" t="s">
        <v>6</v>
      </c>
      <c r="E6" s="1" t="s">
        <v>7</v>
      </c>
      <c r="F6" s="1" t="s">
        <v>8</v>
      </c>
      <c r="G6" s="1" t="s">
        <v>9</v>
      </c>
      <c r="H6" s="1" t="s">
        <v>10</v>
      </c>
      <c r="I6" s="1" t="s">
        <v>11</v>
      </c>
      <c r="J6" s="1" t="s">
        <v>12</v>
      </c>
      <c r="K6" s="1" t="s">
        <v>13</v>
      </c>
      <c r="L6" s="1" t="s">
        <v>14</v>
      </c>
    </row>
    <row r="7" spans="1:12" ht="94.05" customHeight="1">
      <c r="A7" s="5" t="s">
        <v>15</v>
      </c>
      <c r="B7" s="5" t="s">
        <v>16</v>
      </c>
      <c r="C7" s="2" t="s">
        <v>17</v>
      </c>
      <c r="D7" s="2" t="s">
        <v>18</v>
      </c>
      <c r="E7" s="2" t="s">
        <v>19</v>
      </c>
      <c r="F7" s="2" t="s">
        <v>20</v>
      </c>
      <c r="G7" s="5" t="s">
        <v>21</v>
      </c>
      <c r="H7" s="5" t="s">
        <v>22</v>
      </c>
      <c r="I7" s="2" t="s">
        <v>23</v>
      </c>
      <c r="J7" s="2" t="s">
        <v>188</v>
      </c>
      <c r="K7" s="5" t="s">
        <v>34</v>
      </c>
      <c r="L7" s="2" t="s">
        <v>189</v>
      </c>
    </row>
    <row r="8" spans="1:12" ht="94.05" customHeight="1">
      <c r="A8" s="6" t="s">
        <v>25</v>
      </c>
      <c r="B8" s="6" t="s">
        <v>16</v>
      </c>
      <c r="C8" s="3" t="s">
        <v>26</v>
      </c>
      <c r="D8" s="3" t="s">
        <v>27</v>
      </c>
      <c r="E8" s="3" t="s">
        <v>28</v>
      </c>
      <c r="F8" s="3" t="s">
        <v>29</v>
      </c>
      <c r="G8" s="6" t="s">
        <v>30</v>
      </c>
      <c r="H8" s="6" t="s">
        <v>31</v>
      </c>
      <c r="I8" s="3" t="s">
        <v>32</v>
      </c>
      <c r="J8" s="3" t="s">
        <v>33</v>
      </c>
      <c r="K8" s="6" t="s">
        <v>34</v>
      </c>
      <c r="L8" s="3" t="s">
        <v>35</v>
      </c>
    </row>
    <row r="9" spans="1:12" ht="94.05" customHeight="1">
      <c r="A9" s="6" t="s">
        <v>36</v>
      </c>
      <c r="B9" s="6" t="s">
        <v>16</v>
      </c>
      <c r="C9" s="3" t="s">
        <v>37</v>
      </c>
      <c r="D9" s="3" t="s">
        <v>38</v>
      </c>
      <c r="E9" s="3" t="s">
        <v>39</v>
      </c>
      <c r="F9" s="3" t="s">
        <v>40</v>
      </c>
      <c r="G9" s="6" t="s">
        <v>21</v>
      </c>
      <c r="H9" s="6" t="s">
        <v>31</v>
      </c>
      <c r="I9" s="3" t="s">
        <v>41</v>
      </c>
      <c r="J9" s="3" t="s">
        <v>42</v>
      </c>
      <c r="K9" s="6" t="s">
        <v>34</v>
      </c>
      <c r="L9" s="3" t="s">
        <v>43</v>
      </c>
    </row>
    <row r="10" spans="1:12" ht="94.05" customHeight="1">
      <c r="A10" s="6" t="s">
        <v>44</v>
      </c>
      <c r="B10" s="6" t="s">
        <v>16</v>
      </c>
      <c r="C10" s="3" t="s">
        <v>45</v>
      </c>
      <c r="D10" s="3" t="s">
        <v>46</v>
      </c>
      <c r="E10" s="3" t="s">
        <v>47</v>
      </c>
      <c r="F10" s="3" t="s">
        <v>48</v>
      </c>
      <c r="G10" s="6" t="s">
        <v>30</v>
      </c>
      <c r="H10" s="6" t="s">
        <v>49</v>
      </c>
      <c r="I10" s="3" t="s">
        <v>50</v>
      </c>
      <c r="J10" s="3" t="s">
        <v>190</v>
      </c>
      <c r="K10" s="6" t="s">
        <v>34</v>
      </c>
      <c r="L10" s="3" t="s">
        <v>191</v>
      </c>
    </row>
    <row r="11" spans="1:12" ht="94.05" customHeight="1">
      <c r="A11" s="6" t="s">
        <v>51</v>
      </c>
      <c r="B11" s="6" t="s">
        <v>52</v>
      </c>
      <c r="C11" s="3" t="s">
        <v>53</v>
      </c>
      <c r="D11" s="3" t="s">
        <v>54</v>
      </c>
      <c r="E11" s="3" t="s">
        <v>55</v>
      </c>
      <c r="F11" s="3" t="s">
        <v>56</v>
      </c>
      <c r="G11" s="6" t="s">
        <v>21</v>
      </c>
      <c r="H11" s="6" t="s">
        <v>31</v>
      </c>
      <c r="I11" s="3" t="s">
        <v>57</v>
      </c>
      <c r="J11" s="3" t="s">
        <v>58</v>
      </c>
      <c r="K11" s="6" t="s">
        <v>34</v>
      </c>
      <c r="L11" s="3" t="s">
        <v>59</v>
      </c>
    </row>
    <row r="12" spans="1:12" ht="94.05" customHeight="1">
      <c r="A12" s="6" t="s">
        <v>60</v>
      </c>
      <c r="B12" s="6" t="s">
        <v>52</v>
      </c>
      <c r="C12" s="3" t="s">
        <v>53</v>
      </c>
      <c r="D12" s="3" t="s">
        <v>61</v>
      </c>
      <c r="E12" s="3" t="s">
        <v>62</v>
      </c>
      <c r="F12" s="3" t="s">
        <v>63</v>
      </c>
      <c r="G12" s="6" t="s">
        <v>21</v>
      </c>
      <c r="H12" s="6" t="s">
        <v>31</v>
      </c>
      <c r="I12" s="3" t="s">
        <v>64</v>
      </c>
      <c r="J12" s="3" t="s">
        <v>65</v>
      </c>
      <c r="K12" s="6" t="s">
        <v>34</v>
      </c>
      <c r="L12" s="3" t="s">
        <v>66</v>
      </c>
    </row>
    <row r="13" spans="1:12" ht="94.05" customHeight="1">
      <c r="A13" s="6" t="s">
        <v>67</v>
      </c>
      <c r="B13" s="6" t="s">
        <v>52</v>
      </c>
      <c r="C13" s="3" t="s">
        <v>37</v>
      </c>
      <c r="D13" s="3" t="s">
        <v>68</v>
      </c>
      <c r="E13" s="3" t="s">
        <v>69</v>
      </c>
      <c r="F13" s="3" t="s">
        <v>70</v>
      </c>
      <c r="G13" s="6" t="s">
        <v>30</v>
      </c>
      <c r="H13" s="6" t="s">
        <v>31</v>
      </c>
      <c r="I13" s="3" t="s">
        <v>71</v>
      </c>
      <c r="J13" s="3" t="s">
        <v>72</v>
      </c>
      <c r="K13" s="6" t="s">
        <v>34</v>
      </c>
      <c r="L13" s="3" t="s">
        <v>73</v>
      </c>
    </row>
    <row r="14" spans="1:12" ht="94.05" customHeight="1">
      <c r="A14" s="6" t="s">
        <v>74</v>
      </c>
      <c r="B14" s="6" t="s">
        <v>52</v>
      </c>
      <c r="C14" s="3" t="s">
        <v>75</v>
      </c>
      <c r="D14" s="3" t="s">
        <v>76</v>
      </c>
      <c r="E14" s="3" t="s">
        <v>77</v>
      </c>
      <c r="F14" s="3" t="s">
        <v>78</v>
      </c>
      <c r="G14" s="6" t="s">
        <v>79</v>
      </c>
      <c r="H14" s="6" t="s">
        <v>80</v>
      </c>
      <c r="I14" s="3" t="s">
        <v>81</v>
      </c>
      <c r="J14" s="3" t="s">
        <v>82</v>
      </c>
      <c r="K14" s="6" t="s">
        <v>34</v>
      </c>
      <c r="L14" s="3" t="s">
        <v>83</v>
      </c>
    </row>
    <row r="15" spans="1:12" ht="94.05" customHeight="1">
      <c r="A15" s="6" t="s">
        <v>84</v>
      </c>
      <c r="B15" s="6" t="s">
        <v>16</v>
      </c>
      <c r="C15" s="3" t="s">
        <v>85</v>
      </c>
      <c r="D15" s="3" t="s">
        <v>86</v>
      </c>
      <c r="E15" s="3" t="s">
        <v>87</v>
      </c>
      <c r="F15" s="3" t="s">
        <v>88</v>
      </c>
      <c r="G15" s="6" t="s">
        <v>30</v>
      </c>
      <c r="H15" s="6" t="s">
        <v>49</v>
      </c>
      <c r="I15" s="3" t="s">
        <v>89</v>
      </c>
      <c r="J15" s="3" t="s">
        <v>192</v>
      </c>
      <c r="K15" s="6" t="s">
        <v>34</v>
      </c>
      <c r="L15" s="3" t="s">
        <v>193</v>
      </c>
    </row>
    <row r="16" spans="1:12" ht="94.05" customHeight="1">
      <c r="A16" s="6" t="s">
        <v>91</v>
      </c>
      <c r="B16" s="6" t="s">
        <v>52</v>
      </c>
      <c r="C16" s="3" t="s">
        <v>85</v>
      </c>
      <c r="D16" s="3" t="s">
        <v>92</v>
      </c>
      <c r="E16" s="3" t="s">
        <v>93</v>
      </c>
      <c r="F16" s="3" t="s">
        <v>94</v>
      </c>
      <c r="G16" s="6" t="s">
        <v>30</v>
      </c>
      <c r="H16" s="6" t="s">
        <v>49</v>
      </c>
      <c r="I16" s="3" t="s">
        <v>95</v>
      </c>
      <c r="J16" s="3" t="s">
        <v>194</v>
      </c>
      <c r="K16" s="6" t="s">
        <v>34</v>
      </c>
      <c r="L16" s="3" t="s">
        <v>195</v>
      </c>
    </row>
    <row r="17" spans="1:12" ht="94.05" customHeight="1">
      <c r="A17" s="6" t="s">
        <v>96</v>
      </c>
      <c r="B17" s="6" t="s">
        <v>16</v>
      </c>
      <c r="C17" s="3" t="s">
        <v>85</v>
      </c>
      <c r="D17" s="3" t="s">
        <v>97</v>
      </c>
      <c r="E17" s="3" t="s">
        <v>98</v>
      </c>
      <c r="F17" s="3" t="s">
        <v>99</v>
      </c>
      <c r="G17" s="6" t="s">
        <v>21</v>
      </c>
      <c r="H17" s="6" t="s">
        <v>49</v>
      </c>
      <c r="I17" s="3" t="s">
        <v>100</v>
      </c>
      <c r="J17" s="3" t="s">
        <v>196</v>
      </c>
      <c r="K17" s="6" t="s">
        <v>34</v>
      </c>
      <c r="L17" s="3" t="s">
        <v>197</v>
      </c>
    </row>
    <row r="18" spans="1:12" ht="94.05" customHeight="1">
      <c r="A18" s="6" t="s">
        <v>101</v>
      </c>
      <c r="B18" s="6" t="s">
        <v>16</v>
      </c>
      <c r="C18" s="3" t="s">
        <v>102</v>
      </c>
      <c r="D18" s="3" t="s">
        <v>103</v>
      </c>
      <c r="E18" s="3" t="s">
        <v>104</v>
      </c>
      <c r="F18" s="3" t="s">
        <v>105</v>
      </c>
      <c r="G18" s="6" t="s">
        <v>21</v>
      </c>
      <c r="H18" s="6" t="s">
        <v>106</v>
      </c>
      <c r="I18" s="3" t="s">
        <v>107</v>
      </c>
      <c r="J18" s="3" t="s">
        <v>198</v>
      </c>
      <c r="K18" s="6" t="s">
        <v>34</v>
      </c>
      <c r="L18" s="3" t="s">
        <v>199</v>
      </c>
    </row>
    <row r="19" spans="1:12" ht="94.05" customHeight="1">
      <c r="A19" s="6" t="s">
        <v>108</v>
      </c>
      <c r="B19" s="6" t="s">
        <v>16</v>
      </c>
      <c r="C19" s="3" t="s">
        <v>109</v>
      </c>
      <c r="D19" s="3" t="s">
        <v>110</v>
      </c>
      <c r="E19" s="3" t="s">
        <v>111</v>
      </c>
      <c r="F19" s="3" t="s">
        <v>112</v>
      </c>
      <c r="G19" s="6" t="s">
        <v>113</v>
      </c>
      <c r="H19" s="6" t="s">
        <v>114</v>
      </c>
      <c r="I19" s="3" t="s">
        <v>115</v>
      </c>
      <c r="J19" s="3" t="s">
        <v>200</v>
      </c>
      <c r="K19" s="6" t="s">
        <v>34</v>
      </c>
      <c r="L19" s="3" t="s">
        <v>201</v>
      </c>
    </row>
    <row r="20" spans="1:12" ht="94.05" customHeight="1">
      <c r="A20" s="6" t="s">
        <v>116</v>
      </c>
      <c r="B20" s="6" t="s">
        <v>16</v>
      </c>
      <c r="C20" s="3" t="s">
        <v>117</v>
      </c>
      <c r="D20" s="3" t="s">
        <v>118</v>
      </c>
      <c r="E20" s="3" t="s">
        <v>119</v>
      </c>
      <c r="F20" s="3" t="s">
        <v>120</v>
      </c>
      <c r="G20" s="6" t="s">
        <v>121</v>
      </c>
      <c r="H20" s="6" t="s">
        <v>122</v>
      </c>
      <c r="I20" s="3" t="s">
        <v>123</v>
      </c>
      <c r="J20" s="3" t="s">
        <v>202</v>
      </c>
      <c r="K20" s="6" t="s">
        <v>24</v>
      </c>
      <c r="L20" s="3" t="s">
        <v>203</v>
      </c>
    </row>
    <row r="21" spans="1:12" ht="94.05" customHeight="1">
      <c r="A21" s="7" t="s">
        <v>124</v>
      </c>
      <c r="B21" s="7" t="s">
        <v>16</v>
      </c>
      <c r="C21" s="4" t="s">
        <v>125</v>
      </c>
      <c r="D21" s="4" t="s">
        <v>126</v>
      </c>
      <c r="E21" s="4" t="s">
        <v>127</v>
      </c>
      <c r="F21" s="4" t="s">
        <v>128</v>
      </c>
      <c r="G21" s="7" t="s">
        <v>113</v>
      </c>
      <c r="H21" s="7" t="s">
        <v>129</v>
      </c>
      <c r="I21" s="4" t="s">
        <v>130</v>
      </c>
      <c r="J21" s="4" t="s">
        <v>131</v>
      </c>
      <c r="K21" s="7" t="s">
        <v>90</v>
      </c>
      <c r="L21" s="4" t="s">
        <v>132</v>
      </c>
    </row>
  </sheetData>
  <mergeCells count="3">
    <mergeCell ref="A1:L1"/>
    <mergeCell ref="A2:L2"/>
    <mergeCell ref="A3:L4"/>
  </mergeCells>
  <conditionalFormatting sqref="B7:B21">
    <cfRule type="expression" dxfId="4" priority="1">
      <formula>$B7="High"</formula>
    </cfRule>
    <cfRule type="expression" dxfId="3" priority="2">
      <formula>$B7="Medium"</formula>
    </cfRule>
  </conditionalFormatting>
  <conditionalFormatting sqref="K7:K21">
    <cfRule type="expression" dxfId="2" priority="3">
      <formula>$K7="Complete"</formula>
    </cfRule>
    <cfRule type="expression" dxfId="1" priority="4">
      <formula>$K7="Partially Complete"</formula>
    </cfRule>
    <cfRule type="expression" dxfId="0" priority="5">
      <formula>$K7="Not Started"</formula>
    </cfRule>
  </conditionalFormatting>
  <dataValidations count="2">
    <dataValidation type="list" sqref="B7:B21" xr:uid="{00000000-0002-0000-0000-000000000000}">
      <formula1>"High,Medium,Low"</formula1>
    </dataValidation>
    <dataValidation type="list" sqref="K7:K21" xr:uid="{00000000-0002-0000-0000-000001000000}">
      <formula1>"Complete,Partially Complete,Not Started"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0"/>
  <sheetViews>
    <sheetView showGridLines="0" tabSelected="1" workbookViewId="0">
      <selection sqref="A1:H1"/>
    </sheetView>
  </sheetViews>
  <sheetFormatPr defaultRowHeight="13.8"/>
  <cols>
    <col min="1" max="1" width="25" customWidth="1"/>
    <col min="2" max="3" width="16" customWidth="1"/>
    <col min="4" max="4" width="22" customWidth="1"/>
    <col min="5" max="8" width="16" customWidth="1"/>
  </cols>
  <sheetData>
    <row r="1" spans="1:8" ht="30" customHeight="1">
      <c r="A1" s="41" t="s">
        <v>133</v>
      </c>
      <c r="B1" s="41"/>
      <c r="C1" s="41"/>
      <c r="D1" s="41"/>
      <c r="E1" s="41"/>
      <c r="F1" s="41"/>
      <c r="G1" s="41"/>
      <c r="H1" s="41"/>
    </row>
    <row r="2" spans="1:8" ht="14.4">
      <c r="A2" s="42" t="s">
        <v>134</v>
      </c>
      <c r="B2" s="42"/>
      <c r="C2" s="42"/>
      <c r="D2" s="42"/>
      <c r="E2" s="42"/>
      <c r="F2" s="42"/>
      <c r="G2" s="42"/>
      <c r="H2" s="42"/>
    </row>
    <row r="3" spans="1:8" ht="14.4">
      <c r="A3" s="8"/>
      <c r="B3" s="8"/>
      <c r="C3" s="8"/>
      <c r="D3" s="8"/>
      <c r="E3" s="8"/>
      <c r="F3" s="8"/>
      <c r="G3" s="8"/>
      <c r="H3" s="8"/>
    </row>
    <row r="4" spans="1:8" ht="14.4">
      <c r="A4" s="43" t="s">
        <v>135</v>
      </c>
      <c r="B4" s="43"/>
      <c r="C4" s="8"/>
      <c r="D4" s="43" t="s">
        <v>136</v>
      </c>
      <c r="E4" s="43"/>
      <c r="F4" s="8"/>
      <c r="G4" s="8"/>
      <c r="H4" s="8"/>
    </row>
    <row r="5" spans="1:8" ht="14.4">
      <c r="A5" s="9" t="s">
        <v>137</v>
      </c>
      <c r="B5" s="10">
        <f>COUNTA('Risk-Control Matrix'!$A$7:$A$21)</f>
        <v>15</v>
      </c>
      <c r="C5" s="8"/>
      <c r="D5" s="9" t="s">
        <v>16</v>
      </c>
      <c r="E5" s="10">
        <f>COUNTIF('Risk-Control Matrix'!$B$7:$B$21,"High")</f>
        <v>10</v>
      </c>
      <c r="F5" s="8"/>
      <c r="G5" s="8"/>
      <c r="H5" s="8"/>
    </row>
    <row r="6" spans="1:8" ht="14.4">
      <c r="A6" s="9" t="s">
        <v>34</v>
      </c>
      <c r="B6" s="10">
        <f>COUNTIF('Risk-Control Matrix'!$K$7:$K$21,"Complete")</f>
        <v>13</v>
      </c>
      <c r="C6" s="8"/>
      <c r="D6" s="9" t="s">
        <v>52</v>
      </c>
      <c r="E6" s="10">
        <f>COUNTIF('Risk-Control Matrix'!$B$7:$B$21,"Medium")</f>
        <v>5</v>
      </c>
      <c r="F6" s="8"/>
      <c r="G6" s="8"/>
      <c r="H6" s="8"/>
    </row>
    <row r="7" spans="1:8" ht="14.4">
      <c r="A7" s="9" t="s">
        <v>138</v>
      </c>
      <c r="B7" s="10">
        <f>COUNTIF('Risk-Control Matrix'!$K$7:$K$21,"Partially Complete")</f>
        <v>1</v>
      </c>
      <c r="C7" s="8"/>
      <c r="D7" s="9" t="s">
        <v>139</v>
      </c>
      <c r="E7" s="10">
        <f>COUNTIF('Risk-Control Matrix'!$B$7:$B$21,"Low")</f>
        <v>0</v>
      </c>
      <c r="F7" s="8"/>
      <c r="G7" s="8"/>
      <c r="H7" s="8"/>
    </row>
    <row r="8" spans="1:8" ht="14.4">
      <c r="A8" s="9" t="s">
        <v>140</v>
      </c>
      <c r="B8" s="10">
        <f>COUNTIF('Risk-Control Matrix'!$K$7:$K$21,"Not Started")</f>
        <v>1</v>
      </c>
      <c r="C8" s="8"/>
      <c r="D8" s="8"/>
      <c r="E8" s="8"/>
      <c r="F8" s="8"/>
      <c r="G8" s="8"/>
      <c r="H8" s="8"/>
    </row>
    <row r="9" spans="1:8" ht="14.4">
      <c r="A9" s="9" t="s">
        <v>141</v>
      </c>
      <c r="B9" s="11">
        <f>B6/B5</f>
        <v>0.8666666666666667</v>
      </c>
      <c r="C9" s="8"/>
      <c r="D9" s="8"/>
      <c r="E9" s="8"/>
      <c r="F9" s="8"/>
      <c r="G9" s="8"/>
      <c r="H9" s="8"/>
    </row>
    <row r="10" spans="1:8" ht="14.4">
      <c r="A10" s="8"/>
      <c r="B10" s="8"/>
      <c r="C10" s="8"/>
      <c r="D10" s="8"/>
      <c r="E10" s="8"/>
      <c r="F10" s="8"/>
      <c r="G10" s="8"/>
      <c r="H10" s="8"/>
    </row>
    <row r="11" spans="1:8" ht="14.4">
      <c r="A11" s="31" t="s">
        <v>142</v>
      </c>
      <c r="B11" s="31"/>
      <c r="C11" s="31"/>
      <c r="D11" s="31"/>
      <c r="E11" s="31"/>
      <c r="F11" s="31"/>
      <c r="G11" s="31"/>
      <c r="H11" s="31"/>
    </row>
    <row r="12" spans="1:8" ht="28.05" customHeight="1">
      <c r="A12" s="22" t="s">
        <v>143</v>
      </c>
      <c r="B12" s="23"/>
      <c r="C12" s="23"/>
      <c r="D12" s="23"/>
      <c r="E12" s="23"/>
      <c r="F12" s="23"/>
      <c r="G12" s="23"/>
      <c r="H12" s="24"/>
    </row>
    <row r="13" spans="1:8" ht="28.05" customHeight="1">
      <c r="A13" s="25"/>
      <c r="B13" s="26"/>
      <c r="C13" s="26"/>
      <c r="D13" s="26"/>
      <c r="E13" s="26"/>
      <c r="F13" s="26"/>
      <c r="G13" s="26"/>
      <c r="H13" s="27"/>
    </row>
    <row r="14" spans="1:8" ht="28.05" customHeight="1">
      <c r="A14" s="28"/>
      <c r="B14" s="29"/>
      <c r="C14" s="29"/>
      <c r="D14" s="29"/>
      <c r="E14" s="29"/>
      <c r="F14" s="29"/>
      <c r="G14" s="29"/>
      <c r="H14" s="30"/>
    </row>
    <row r="15" spans="1:8" ht="14.4">
      <c r="A15" s="8"/>
      <c r="B15" s="8"/>
      <c r="C15" s="8"/>
      <c r="D15" s="8"/>
      <c r="E15" s="8"/>
      <c r="F15" s="8"/>
      <c r="G15" s="8"/>
      <c r="H15" s="8"/>
    </row>
    <row r="16" spans="1:8" ht="14.4">
      <c r="A16" s="31" t="s">
        <v>144</v>
      </c>
      <c r="B16" s="31"/>
      <c r="C16" s="31"/>
      <c r="D16" s="31"/>
      <c r="E16" s="31"/>
      <c r="F16" s="31"/>
      <c r="G16" s="31"/>
      <c r="H16" s="31"/>
    </row>
    <row r="17" spans="1:8" ht="28.05" customHeight="1">
      <c r="A17" s="32" t="s">
        <v>145</v>
      </c>
      <c r="B17" s="33"/>
      <c r="C17" s="33"/>
      <c r="D17" s="33"/>
      <c r="E17" s="33"/>
      <c r="F17" s="33"/>
      <c r="G17" s="33"/>
      <c r="H17" s="34"/>
    </row>
    <row r="18" spans="1:8" ht="28.05" customHeight="1">
      <c r="A18" s="35"/>
      <c r="B18" s="36"/>
      <c r="C18" s="36"/>
      <c r="D18" s="36"/>
      <c r="E18" s="36"/>
      <c r="F18" s="36"/>
      <c r="G18" s="36"/>
      <c r="H18" s="37"/>
    </row>
    <row r="19" spans="1:8" ht="28.05" customHeight="1">
      <c r="A19" s="35"/>
      <c r="B19" s="36"/>
      <c r="C19" s="36"/>
      <c r="D19" s="36"/>
      <c r="E19" s="36"/>
      <c r="F19" s="36"/>
      <c r="G19" s="36"/>
      <c r="H19" s="37"/>
    </row>
    <row r="20" spans="1:8" ht="28.05" customHeight="1">
      <c r="A20" s="38"/>
      <c r="B20" s="39"/>
      <c r="C20" s="39"/>
      <c r="D20" s="39"/>
      <c r="E20" s="39"/>
      <c r="F20" s="39"/>
      <c r="G20" s="39"/>
      <c r="H20" s="40"/>
    </row>
  </sheetData>
  <mergeCells count="8">
    <mergeCell ref="A12:H14"/>
    <mergeCell ref="A16:H16"/>
    <mergeCell ref="A17:H20"/>
    <mergeCell ref="A1:H1"/>
    <mergeCell ref="A2:H2"/>
    <mergeCell ref="A4:B4"/>
    <mergeCell ref="D4:E4"/>
    <mergeCell ref="A11:H1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5"/>
  <sheetViews>
    <sheetView showGridLines="0" workbookViewId="0"/>
  </sheetViews>
  <sheetFormatPr defaultRowHeight="13.8"/>
  <cols>
    <col min="1" max="1" width="18" customWidth="1"/>
    <col min="2" max="2" width="24" customWidth="1"/>
    <col min="3" max="3" width="48" customWidth="1"/>
    <col min="4" max="4" width="52" customWidth="1"/>
  </cols>
  <sheetData>
    <row r="1" spans="1:4" ht="21">
      <c r="A1" s="52" t="s">
        <v>146</v>
      </c>
      <c r="B1" s="52"/>
      <c r="C1" s="52"/>
      <c r="D1" s="52"/>
    </row>
    <row r="3" spans="1:4">
      <c r="A3" s="12" t="s">
        <v>147</v>
      </c>
      <c r="B3" s="12" t="s">
        <v>148</v>
      </c>
      <c r="C3" s="12" t="s">
        <v>149</v>
      </c>
      <c r="D3" s="12" t="s">
        <v>150</v>
      </c>
    </row>
    <row r="4" spans="1:4" ht="55.95" customHeight="1">
      <c r="A4" s="16" t="s">
        <v>151</v>
      </c>
      <c r="B4" s="17" t="s">
        <v>152</v>
      </c>
      <c r="C4" s="13" t="s">
        <v>153</v>
      </c>
      <c r="D4" s="13" t="s">
        <v>154</v>
      </c>
    </row>
    <row r="5" spans="1:4" ht="55.95" customHeight="1">
      <c r="A5" s="18" t="s">
        <v>13</v>
      </c>
      <c r="B5" s="19" t="s">
        <v>34</v>
      </c>
      <c r="C5" s="14" t="s">
        <v>155</v>
      </c>
      <c r="D5" s="14" t="s">
        <v>156</v>
      </c>
    </row>
    <row r="6" spans="1:4" ht="55.95" customHeight="1">
      <c r="A6" s="18" t="s">
        <v>13</v>
      </c>
      <c r="B6" s="19" t="s">
        <v>24</v>
      </c>
      <c r="C6" s="14" t="s">
        <v>157</v>
      </c>
      <c r="D6" s="14" t="s">
        <v>158</v>
      </c>
    </row>
    <row r="7" spans="1:4" ht="55.95" customHeight="1">
      <c r="A7" s="18" t="s">
        <v>13</v>
      </c>
      <c r="B7" s="19" t="s">
        <v>90</v>
      </c>
      <c r="C7" s="14" t="s">
        <v>159</v>
      </c>
      <c r="D7" s="14" t="s">
        <v>160</v>
      </c>
    </row>
    <row r="8" spans="1:4" ht="55.95" customHeight="1">
      <c r="A8" s="18" t="s">
        <v>9</v>
      </c>
      <c r="B8" s="19" t="s">
        <v>161</v>
      </c>
      <c r="C8" s="14" t="s">
        <v>162</v>
      </c>
      <c r="D8" s="14" t="s">
        <v>163</v>
      </c>
    </row>
    <row r="9" spans="1:4" ht="55.95" customHeight="1">
      <c r="A9" s="18" t="s">
        <v>9</v>
      </c>
      <c r="B9" s="19" t="s">
        <v>164</v>
      </c>
      <c r="C9" s="14" t="s">
        <v>165</v>
      </c>
      <c r="D9" s="14" t="s">
        <v>166</v>
      </c>
    </row>
    <row r="10" spans="1:4" ht="55.95" customHeight="1">
      <c r="A10" s="18" t="s">
        <v>167</v>
      </c>
      <c r="B10" s="19" t="s">
        <v>168</v>
      </c>
      <c r="C10" s="14" t="s">
        <v>169</v>
      </c>
      <c r="D10" s="14" t="s">
        <v>170</v>
      </c>
    </row>
    <row r="11" spans="1:4" ht="55.95" customHeight="1">
      <c r="A11" s="18" t="s">
        <v>167</v>
      </c>
      <c r="B11" s="19" t="s">
        <v>171</v>
      </c>
      <c r="C11" s="14" t="s">
        <v>172</v>
      </c>
      <c r="D11" s="14" t="s">
        <v>173</v>
      </c>
    </row>
    <row r="12" spans="1:4" ht="55.95" customHeight="1">
      <c r="A12" s="18" t="s">
        <v>167</v>
      </c>
      <c r="B12" s="19" t="s">
        <v>174</v>
      </c>
      <c r="C12" s="14" t="s">
        <v>175</v>
      </c>
      <c r="D12" s="14" t="s">
        <v>176</v>
      </c>
    </row>
    <row r="13" spans="1:4" ht="55.95" customHeight="1">
      <c r="A13" s="18" t="s">
        <v>177</v>
      </c>
      <c r="B13" s="19" t="s">
        <v>178</v>
      </c>
      <c r="C13" s="14" t="s">
        <v>179</v>
      </c>
      <c r="D13" s="14" t="s">
        <v>180</v>
      </c>
    </row>
    <row r="14" spans="1:4" ht="55.95" customHeight="1">
      <c r="A14" s="18" t="s">
        <v>177</v>
      </c>
      <c r="B14" s="19" t="s">
        <v>181</v>
      </c>
      <c r="C14" s="14" t="s">
        <v>182</v>
      </c>
      <c r="D14" s="14" t="s">
        <v>183</v>
      </c>
    </row>
    <row r="15" spans="1:4" ht="55.95" customHeight="1">
      <c r="A15" s="20" t="s">
        <v>184</v>
      </c>
      <c r="B15" s="21" t="s">
        <v>185</v>
      </c>
      <c r="C15" s="15" t="s">
        <v>186</v>
      </c>
      <c r="D15" s="15" t="s">
        <v>187</v>
      </c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Risk-Control Matrix</vt:lpstr>
      <vt:lpstr>Test Summary</vt:lpstr>
      <vt:lpstr>Definitions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Mai.H.H Nguyen</cp:lastModifiedBy>
  <dcterms:modified xsi:type="dcterms:W3CDTF">2026-08-21T02:12:03Z</dcterms:modified>
</cp:coreProperties>
</file>