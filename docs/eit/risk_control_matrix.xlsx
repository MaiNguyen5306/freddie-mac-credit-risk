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3d1dbd7a5d45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sk-Control Matrix" sheetId="1" r:id="Re0a47f38ccab46fb"/>
    <x:sheet xmlns:r="http://schemas.openxmlformats.org/officeDocument/2006/relationships" name="Test Summary" sheetId="2" r:id="Reffd464ed2784095"/>
    <x:sheet xmlns:r="http://schemas.openxmlformats.org/officeDocument/2006/relationships" name="Definitions" sheetId="3" r:id="R114fbe85536148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4546A"/>
      <x:name val="Carlito"/>
    </x:font>
    <x:font>
      <x:sz val="10"/>
      <x:color rgb="FF595959"/>
      <x:name val="Carlito"/>
    </x:font>
    <x:font>
      <x:sz val="10"/>
      <x:color rgb="FF222222"/>
      <x:name val="Aptos"/>
    </x:font>
    <x:font>
      <x:b/>
      <x:sz val="10"/>
      <x:color rgb="FFFFFFFF"/>
      <x:name val="Aptos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222222"/>
      <x:name val="Aptos"/>
    </x:font>
    <x:font>
      <x:i/>
      <x:sz val="11"/>
      <x:color rgb="FF222222"/>
      <x:name val="Aptos"/>
    </x:font>
    <x:font>
      <x:sz val="11"/>
      <x:color rgb="FF222222"/>
      <x:name val="Aptos"/>
    </x:font>
    <x:font>
      <x:b/>
      <x:sz val="16"/>
      <x:color rgb="FFFFFFFF"/>
      <x:name val="Aptos Display"/>
    </x:font>
    <x:font>
      <x:b/>
      <x:sz val="11"/>
      <x:color rgb="FFFFFFFF"/>
      <x:name val="Aptos"/>
    </x:font>
    <x:font>
      <x:sz val="10"/>
      <x:name val="Aptos"/>
    </x:font>
    <x:font>
      <x:b/>
      <x:sz val="10"/>
      <x:color rgb="FF2F5597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DF4FA"/>
      </x:patternFill>
    </x:fill>
    <x:fill>
      <x:patternFill patternType="solid">
        <x:fgColor rgb="FFF2F2F2"/>
      </x:patternFill>
    </x:fill>
    <x:fill>
      <x:patternFill patternType="solid">
        <x:fgColor rgb="FFF7FBFF"/>
      </x:patternFill>
    </x:fill>
    <x:fill>
      <x:patternFill patternType="solid">
        <x:fgColor rgb="FFFFF9E6"/>
      </x:patternFill>
    </x:fill>
  </x:fills>
  <x:borders count="28">
    <x:border/>
    <x:border>
      <x:left style="thin">
        <x:color rgb="FFC9C9C9"/>
      </x:left>
      <x:top style="thin">
        <x:color rgb="FFC9C9C9"/>
      </x:top>
    </x:border>
    <x:border>
      <x:top style="thin">
        <x:color rgb="FFC9C9C9"/>
      </x:top>
    </x:border>
    <x:border>
      <x:right style="thin">
        <x:color rgb="FFC9C9C9"/>
      </x:right>
      <x:top style="thin">
        <x:color rgb="FFC9C9C9"/>
      </x:top>
    </x:border>
    <x:border>
      <x:left style="thin">
        <x:color rgb="FFC9C9C9"/>
      </x:left>
      <x:bottom style="thin">
        <x:color rgb="FFC9C9C9"/>
      </x:bottom>
    </x:border>
    <x:border>
      <x:bottom style="thin">
        <x:color rgb="FFC9C9C9"/>
      </x:bottom>
    </x:border>
    <x:border>
      <x:right style="thin">
        <x:color rgb="FFC9C9C9"/>
      </x:right>
      <x:bottom style="thin">
        <x:color rgb="FFC9C9C9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A6A6A6"/>
      </x:bottom>
    </x:border>
    <x:border>
      <x:left style="thin">
        <x:color rgb="FFB4C6E7"/>
      </x:left>
      <x:top style="thin">
        <x:color rgb="FFB4C6E7"/>
      </x:top>
    </x:border>
    <x:border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1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0" fontId="5" fillId="2" borderId="0" xfId="0" applyNumberFormat="1" applyFont="1" applyFill="1" applyBorder="1" applyAlignment="1">
      <x:alignment vertical="top"/>
    </x:xf>
    <x:xf numFmtId="0" fontId="5" fillId="2" borderId="7" xfId="0" applyNumberFormat="1" applyFont="1" applyFill="1" applyBorder="1" applyAlignment="1">
      <x:alignment vertical="top"/>
    </x:xf>
    <x:xf numFmtId="0" fontId="5" fillId="2" borderId="7" xfId="0" applyNumberFormat="1" applyFont="1" applyFill="1" applyBorder="1" applyAlignment="1">
      <x:alignment vertical="top" wrapText="1"/>
    </x:xf>
    <x:xf numFmtId="0" fontId="5" fillId="2" borderId="7" xfId="0" applyNumberFormat="1" applyFont="1" applyFill="1" applyBorder="1" applyAlignment="1">
      <x:alignment horizontal="center" vertical="top" wrapText="1"/>
    </x:xf>
    <x:xf numFmtId="0" fontId="5" fillId="2" borderId="7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horizontal="center" vertical="top" wrapText="1"/>
    </x:xf>
    <x:xf numFmtId="0" fontId="4" fillId="0" borderId="9" xfId="0" applyNumberFormat="1" applyFont="1" applyFill="1" applyBorder="1" applyAlignment="1">
      <x:alignment horizontal="center" vertical="top" wrapText="1"/>
    </x:xf>
    <x:xf numFmtId="0" fontId="4" fillId="0" borderId="1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3" borderId="7" xfId="0" applyNumberFormat="1" applyFont="1" applyFill="1" applyBorder="1"/>
    <x:xf numFmtId="0" fontId="7" fillId="0" borderId="7" xfId="0" applyNumberFormat="1" applyFont="1" applyFill="1" applyBorder="1"/>
    <x:xf numFmtId="200" fontId="7" fillId="0" borderId="7" xfId="0" applyNumberFormat="1" applyFont="1" applyFill="1" applyBorder="1"/>
    <x:xf numFmtId="0" fontId="0" fillId="5" borderId="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0" fillId="5" borderId="16" xfId="0" applyNumberFormat="1" applyFont="1" applyFill="1" applyBorder="1"/>
    <x:xf numFmtId="0" fontId="0" fillId="5" borderId="17" xfId="0" applyNumberFormat="1" applyFont="1" applyFill="1" applyBorder="1"/>
    <x:xf numFmtId="0" fontId="0" fillId="5" borderId="18" xfId="0" applyNumberFormat="1" applyFont="1" applyFill="1" applyBorder="1"/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5" xfId="0" applyNumberFormat="1" applyFont="1" applyFill="1" applyBorder="1" applyAlignment="1">
      <x:alignment wrapText="1"/>
    </x:xf>
    <x:xf numFmtId="0" fontId="0" fillId="5" borderId="16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0" fillId="5" borderId="13" xfId="0" applyNumberFormat="1" applyFont="1" applyFill="1" applyBorder="1" applyAlignment="1">
      <x:alignment vertical="center" wrapText="1"/>
    </x:xf>
    <x:xf numFmtId="0" fontId="0" fillId="5" borderId="14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5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6" borderId="22" xfId="0" applyNumberFormat="1" applyFont="1" applyFill="1" applyBorder="1"/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0" fillId="6" borderId="26" xfId="0" applyNumberFormat="1" applyFont="1" applyFill="1" applyBorder="1"/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6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6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0" fillId="6" borderId="2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6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/>
    <x:xf numFmtId="0" fontId="10" fillId="0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10" fillId="3" borderId="7" xfId="0" applyNumberFormat="1" applyFont="1" applyFill="1" applyBorder="1"/>
    <x:xf numFmtId="0" fontId="8" fillId="0" borderId="7" xfId="0" applyNumberFormat="1" applyFont="1" applyFill="1" applyBorder="1"/>
    <x:xf numFmtId="200" fontId="8" fillId="0" borderId="7" xfId="0" applyNumberFormat="1" applyFont="1" applyFill="1" applyBorder="1"/>
    <x:xf numFmtId="0" fontId="8" fillId="2" borderId="0" xfId="0" applyNumberFormat="1" applyFont="1" applyFill="1" applyBorder="1"/>
    <x:xf numFmtId="0" fontId="10" fillId="5" borderId="11" xfId="0" applyNumberFormat="1" applyFont="1" applyFill="1" applyBorder="1" applyAlignment="1">
      <x:alignment vertical="center" wrapText="1"/>
    </x:xf>
    <x:xf numFmtId="0" fontId="10" fillId="5" borderId="12" xfId="0" applyNumberFormat="1" applyFont="1" applyFill="1" applyBorder="1" applyAlignment="1">
      <x:alignment vertical="center" wrapText="1"/>
    </x:xf>
    <x:xf numFmtId="0" fontId="10" fillId="5" borderId="13" xfId="0" applyNumberFormat="1" applyFont="1" applyFill="1" applyBorder="1" applyAlignment="1">
      <x:alignment vertical="center" wrapText="1"/>
    </x:xf>
    <x:xf numFmtId="0" fontId="10" fillId="5" borderId="14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15" xfId="0" applyNumberFormat="1" applyFont="1" applyFill="1" applyBorder="1" applyAlignment="1">
      <x:alignment vertical="center" wrapText="1"/>
    </x:xf>
    <x:xf numFmtId="0" fontId="10" fillId="5" borderId="16" xfId="0" applyNumberFormat="1" applyFont="1" applyFill="1" applyBorder="1" applyAlignment="1">
      <x:alignment vertical="center" wrapText="1"/>
    </x:xf>
    <x:xf numFmtId="0" fontId="10" fillId="5" borderId="17" xfId="0" applyNumberFormat="1" applyFont="1" applyFill="1" applyBorder="1" applyAlignment="1">
      <x:alignment vertical="center" wrapText="1"/>
    </x:xf>
    <x:xf numFmtId="0" fontId="10" fillId="5" borderId="18" xfId="0" applyNumberFormat="1" applyFont="1" applyFill="1" applyBorder="1" applyAlignment="1">
      <x:alignment vertical="center" wrapText="1"/>
    </x:xf>
    <x:xf numFmtId="0" fontId="10" fillId="6" borderId="19" xfId="0" applyNumberFormat="1" applyFont="1" applyFill="1" applyBorder="1" applyAlignment="1">
      <x:alignment vertical="center" wrapText="1"/>
    </x:xf>
    <x:xf numFmtId="0" fontId="10" fillId="6" borderId="20" xfId="0" applyNumberFormat="1" applyFont="1" applyFill="1" applyBorder="1" applyAlignment="1">
      <x:alignment vertical="center" wrapText="1"/>
    </x:xf>
    <x:xf numFmtId="0" fontId="10" fillId="6" borderId="21" xfId="0" applyNumberFormat="1" applyFont="1" applyFill="1" applyBorder="1" applyAlignment="1">
      <x:alignment vertical="center" wrapText="1"/>
    </x:xf>
    <x:xf numFmtId="0" fontId="10" fillId="6" borderId="22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 applyAlignment="1">
      <x:alignment vertical="center" wrapText="1"/>
    </x:xf>
    <x:xf numFmtId="0" fontId="10" fillId="6" borderId="23" xfId="0" applyNumberFormat="1" applyFont="1" applyFill="1" applyBorder="1" applyAlignment="1">
      <x:alignment vertical="center" wrapText="1"/>
    </x:xf>
    <x:xf numFmtId="0" fontId="10" fillId="6" borderId="24" xfId="0" applyNumberFormat="1" applyFont="1" applyFill="1" applyBorder="1" applyAlignment="1">
      <x:alignment vertical="center" wrapText="1"/>
    </x:xf>
    <x:xf numFmtId="0" fontId="10" fillId="6" borderId="25" xfId="0" applyNumberFormat="1" applyFont="1" applyFill="1" applyBorder="1" applyAlignment="1">
      <x:alignment vertical="center" wrapText="1"/>
    </x:xf>
    <x:xf numFmtId="0" fontId="10" fillId="6" borderId="26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/>
    </x:xf>
    <x:xf numFmtId="0" fontId="12" fillId="2" borderId="0" xfId="0" applyNumberFormat="1" applyFont="1" applyFill="1" applyBorder="1"/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center"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0" borderId="27" xfId="0" applyNumberFormat="1" applyFont="1" applyFill="1" applyBorder="1" applyAlignment="1">
      <x:alignment vertical="top" wrapText="1"/>
    </x:xf>
    <x:xf numFmtId="0" fontId="13" fillId="3" borderId="8" xfId="0" applyNumberFormat="1" applyFont="1" applyFill="1" applyBorder="1" applyAlignment="1">
      <x:alignment vertical="top" wrapText="1"/>
    </x:xf>
    <x:xf numFmtId="0" fontId="13" fillId="3" borderId="9" xfId="0" applyNumberFormat="1" applyFont="1" applyFill="1" applyBorder="1" applyAlignment="1">
      <x:alignment vertical="top" wrapText="1"/>
    </x:xf>
    <x:xf numFmtId="0" fontId="13" fillId="3" borderId="27" xfId="0" applyNumberFormat="1" applyFont="1" applyFill="1" applyBorder="1" applyAlignment="1">
      <x:alignment vertical="top" wrapText="1"/>
    </x:xf>
    <x:xf numFmtId="0" fontId="14" fillId="3" borderId="8" xfId="0" applyNumberFormat="1" applyFont="1" applyFill="1" applyBorder="1" applyAlignment="1">
      <x:alignment vertical="top" wrapText="1"/>
    </x:xf>
    <x:xf numFmtId="0" fontId="14" fillId="0" borderId="8" xfId="0" applyNumberFormat="1" applyFont="1" applyFill="1" applyBorder="1" applyAlignment="1">
      <x:alignment vertical="top" wrapText="1"/>
    </x:xf>
    <x:xf numFmtId="0" fontId="14" fillId="3" borderId="9" xfId="0" applyNumberFormat="1" applyFont="1" applyFill="1" applyBorder="1" applyAlignment="1">
      <x:alignment vertical="top" wrapText="1"/>
    </x:xf>
    <x:xf numFmtId="0" fontId="14" fillId="0" borderId="9" xfId="0" applyNumberFormat="1" applyFont="1" applyFill="1" applyBorder="1" applyAlignment="1">
      <x:alignment vertical="top" wrapText="1"/>
    </x:xf>
    <x:xf numFmtId="0" fontId="14" fillId="3" borderId="27" xfId="0" applyNumberFormat="1" applyFont="1" applyFill="1" applyBorder="1" applyAlignment="1">
      <x:alignment vertical="top" wrapText="1"/>
    </x:xf>
    <x:xf numFmtId="0" fontId="14" fillId="0" borderId="27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f8da34577e45f8" /><Relationship Type="http://schemas.openxmlformats.org/officeDocument/2006/relationships/theme" Target="/xl/theme/theme1.xml" Id="R320e1dc0b1214b63" /><Relationship Type="http://schemas.openxmlformats.org/officeDocument/2006/relationships/sharedStrings" Target="/xl/sharedStrings.xml" Id="Rdd435c6ee7b149cd" /><Relationship Type="http://schemas.openxmlformats.org/officeDocument/2006/relationships/worksheet" Target="/xl/worksheets/sheet1.xml" Id="Re0a47f38ccab46fb" /><Relationship Type="http://schemas.openxmlformats.org/officeDocument/2006/relationships/worksheet" Target="/xl/worksheets/sheet2.xml" Id="Reffd464ed2784095" /><Relationship Type="http://schemas.openxmlformats.org/officeDocument/2006/relationships/worksheet" Target="/xl/worksheets/sheet3.xml" Id="R114fbe8553614827" /></Relationships>
</file>

<file path=xl/tables/table1.xml><?xml version="1.0" encoding="utf-8"?>
<x:table xmlns:x="http://schemas.openxmlformats.org/spreadsheetml/2006/main" id="1" name="RiskControlMatrixTable" displayName="RiskControlMatrixTable" ref="A6:L21" headerRowCount="1" totalsRowCount="0" totalsRowShown="0">
  <x:tableColumns count="12">
    <x:tableColumn id="1" name="Test ID"/>
    <x:tableColumn id="2" name="Priority"/>
    <x:tableColumn id="3" name="Process Stage"/>
    <x:tableColumn id="4" name="Risk Statement"/>
    <x:tableColumn id="5" name="Control Objective"/>
    <x:tableColumn id="6" name="Illustrative Control"/>
    <x:tableColumn id="7" name="Classification"/>
    <x:tableColumn id="8" name="Frequency"/>
    <x:tableColumn id="9" name="EIT Testing Procedure"/>
    <x:tableColumn id="10" name="Evidence / Workpaper Reference"/>
    <x:tableColumn id="11" name="Status"/>
    <x:tableColumn id="12" name="Preliminary Conclusion / Next Ste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finitionsTable" displayName="DefinitionsTable" ref="A3:D15" headerRowCount="1" totalsRowCount="0" totalsRowShown="0">
  <x:tableColumns count="4">
    <x:tableColumn id="1" name="Category"/>
    <x:tableColumn id="2" name="Term"/>
    <x:tableColumn id="3" name="Definition"/>
    <x:tableColumn id="4" name="Application in this case stud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9bebdebf2004c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ac10c1c121940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" hidden="0" customWidth="1"/>
    <x:col min="3" max="3" width="23" hidden="0" customWidth="1"/>
    <x:col min="4" max="4" width="38" hidden="0" customWidth="1"/>
    <x:col min="5" max="5" width="36" hidden="0" customWidth="1"/>
    <x:col min="6" max="6" width="42" hidden="0" customWidth="1"/>
    <x:col min="7" max="7" width="22" hidden="0" customWidth="1"/>
    <x:col min="8" max="8" width="18" hidden="0" customWidth="1"/>
    <x:col min="9" max="9" width="46" hidden="0" customWidth="1"/>
    <x:col min="10" max="10" width="40" hidden="0" customWidth="1"/>
    <x:col min="11" max="11" width="19" hidden="0" customWidth="1"/>
    <x:col min="12" max="12" width="44" hidden="0" customWidth="1"/>
  </x:cols>
  <x:sheetData>
    <x:row r="1" ht="30" customHeight="1">
      <x:c r="A1" s="4" t="str">
        <x:v>Mortgage Data and Credit-Risk Reporting — Risk and Control Matrix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4" customHeight="1">
      <x:c r="A2" s="7" t="str">
        <x:v>Simulated Enterprise Independent Testing case study using public Freddie Mac loan-level data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A3" s="12" t="str">
        <x:v>Important limitation: The controls and organizational roles in this workbook are hypothetical. The case study does not assess Freddie Mac's internal controls or claim access to internal systems, procedures, personnel, or evidence.</x:v>
      </x:c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4"/>
    </x:row>
    <x:row r="4">
      <x:c r="A4" s="15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7"/>
    </x:row>
    <x:row r="6" ht="42" customHeight="1">
      <x:c r="A6" s="25" t="str">
        <x:v>Test ID</x:v>
      </x:c>
      <x:c r="B6" s="25" t="str">
        <x:v>Priority</x:v>
      </x:c>
      <x:c r="C6" s="25" t="str">
        <x:v>Process Stage</x:v>
      </x:c>
      <x:c r="D6" s="25" t="str">
        <x:v>Risk Statement</x:v>
      </x:c>
      <x:c r="E6" s="25" t="str">
        <x:v>Control Objective</x:v>
      </x:c>
      <x:c r="F6" s="25" t="str">
        <x:v>Illustrative Control</x:v>
      </x:c>
      <x:c r="G6" s="25" t="str">
        <x:v>Classification</x:v>
      </x:c>
      <x:c r="H6" s="25" t="str">
        <x:v>Frequency</x:v>
      </x:c>
      <x:c r="I6" s="25" t="str">
        <x:v>EIT Testing Procedure</x:v>
      </x:c>
      <x:c r="J6" s="25" t="str">
        <x:v>Evidence / Workpaper Reference</x:v>
      </x:c>
      <x:c r="K6" s="25" t="str">
        <x:v>Status</x:v>
      </x:c>
      <x:c r="L6" s="25" t="str">
        <x:v>Preliminary Conclusion / Next Step</x:v>
      </x:c>
    </x:row>
    <x:row r="7" ht="94" customHeight="1">
      <x:c r="A7" s="30" t="str">
        <x:v>EIT-01</x:v>
      </x:c>
      <x:c r="B7" s="30" t="str">
        <x:v>High</x:v>
      </x:c>
      <x:c r="C7" s="27" t="str">
        <x:v>Data acquisition and ingestion</x:v>
      </x:c>
      <x:c r="D7" s="27" t="str">
        <x:v>Incorrect or incomplete file layouts could cause fields to be omitted, shifted, or misinterpreted.</x:v>
      </x:c>
      <x:c r="E7" s="27" t="str">
        <x:v>Confirm that each received file matches the approved layout before transformation.</x:v>
      </x:c>
      <x:c r="F7" s="27" t="str">
        <x:v>The ingestion process verifies file existence, column count, field order, and approved schema for each vintage.</x:v>
      </x:c>
      <x:c r="G7" s="30" t="str">
        <x:v>Preventive / Automated</x:v>
      </x:c>
      <x:c r="H7" s="30" t="str">
        <x:v>Per file load</x:v>
      </x:c>
      <x:c r="I7" s="27" t="str">
        <x:v>Compare detected file structure with the documented schema; investigate every mismatch before processing continues.</x:v>
      </x:c>
      <x:c r="J7" s="27" t="str">
        <x:v>01_data_audit.ipynb — official origination schema; 02_performance_audit.ipynb — planned</x:v>
      </x:c>
      <x:c r="K7" s="30" t="str">
        <x:v>Partially Complete</x:v>
      </x:c>
      <x:c r="L7" s="27" t="str">
        <x:v>Origination schema passed for all four vintages. Monthly performance schema remains to be tested.</x:v>
      </x:c>
    </x:row>
    <x:row r="8" ht="94" customHeight="1">
      <x:c r="A8" s="31" t="str">
        <x:v>EIT-02</x:v>
      </x:c>
      <x:c r="B8" s="31" t="str">
        <x:v>High</x:v>
      </x:c>
      <x:c r="C8" s="28" t="str">
        <x:v>Data ingestion</x:v>
      </x:c>
      <x:c r="D8" s="28" t="str">
        <x:v>Records could be lost or duplicated during cleaning and export, producing incomplete or overstated reporting populations.</x:v>
      </x:c>
      <x:c r="E8" s="28" t="str">
        <x:v>Preserve population completeness from raw ingestion through the processed output.</x:v>
      </x:c>
      <x:c r="F8" s="28" t="str">
        <x:v>Row counts are reconciled between raw, cleaned, exported, and reloaded datasets.</x:v>
      </x:c>
      <x:c r="G8" s="31" t="str">
        <x:v>Detective / Automated</x:v>
      </x:c>
      <x:c r="H8" s="31" t="str">
        <x:v>Per data refresh</x:v>
      </x:c>
      <x:c r="I8" s="28" t="str">
        <x:v>Compare population counts at each processing stage and investigate any nonzero difference.</x:v>
      </x:c>
      <x:c r="J8" s="28" t="str">
        <x:v>01_data_audit.ipynb — cleaning_check, export_check, parquet_validation</x:v>
      </x:c>
      <x:c r="K8" s="31" t="str">
        <x:v>Complete</x:v>
      </x:c>
      <x:c r="L8" s="28" t="str">
        <x:v>Pass — 200,000 raw, cleaned, exported, and reloaded origination records reconciled.</x:v>
      </x:c>
    </x:row>
    <x:row r="9" ht="94" customHeight="1">
      <x:c r="A9" s="31" t="str">
        <x:v>EIT-03</x:v>
      </x:c>
      <x:c r="B9" s="31" t="str">
        <x:v>High</x:v>
      </x:c>
      <x:c r="C9" s="28" t="str">
        <x:v>Data validation</x:v>
      </x:c>
      <x:c r="D9" s="28" t="str">
        <x:v>Missing or duplicate loan identifiers could prevent accurate record tracing and distort portfolio results.</x:v>
      </x:c>
      <x:c r="E9" s="28" t="str">
        <x:v>Ensure every origination record has one valid and unique loan identifier.</x:v>
      </x:c>
      <x:c r="F9" s="28" t="str">
        <x:v>The pipeline tests identifiers for nulls and duplicates before downstream processing.</x:v>
      </x:c>
      <x:c r="G9" s="31" t="str">
        <x:v>Preventive / Automated</x:v>
      </x:c>
      <x:c r="H9" s="31" t="str">
        <x:v>Per data refresh</x:v>
      </x:c>
      <x:c r="I9" s="28" t="str">
        <x:v>Calculate missing and duplicate identifier counts and require both results to equal zero.</x:v>
      </x:c>
      <x:c r="J9" s="28" t="str">
        <x:v>01_data_audit.ipynb — schema_check and cleaning_check</x:v>
      </x:c>
      <x:c r="K9" s="31" t="str">
        <x:v>Complete</x:v>
      </x:c>
      <x:c r="L9" s="28" t="str">
        <x:v>Pass — all 200,000 origination identifiers were unique and nonmissing.</x:v>
      </x:c>
    </x:row>
    <x:row r="10" ht="94" customHeight="1">
      <x:c r="A10" s="31" t="str">
        <x:v>EIT-04</x:v>
      </x:c>
      <x:c r="B10" s="31" t="str">
        <x:v>High</x:v>
      </x:c>
      <x:c r="C10" s="28" t="str">
        <x:v>Data integration</x:v>
      </x:c>
      <x:c r="D10" s="28" t="str">
        <x:v>Performance records could be linked to nonexistent or incorrect origination loans.</x:v>
      </x:c>
      <x:c r="E10" s="28" t="str">
        <x:v>Ensure every monthly performance record can be traced to a valid origination record.</x:v>
      </x:c>
      <x:c r="F10" s="28" t="str">
        <x:v>Referential-integrity testing compares performance identifiers with the approved origination population.</x:v>
      </x:c>
      <x:c r="G10" s="31" t="str">
        <x:v>Detective / Automated</x:v>
      </x:c>
      <x:c r="H10" s="31" t="str">
        <x:v>Per performance load</x:v>
      </x:c>
      <x:c r="I10" s="28" t="str">
        <x:v>Test the full performance population for unmatched loan identifiers and investigate all exceptions.</x:v>
      </x:c>
      <x:c r="J10" s="28" t="str">
        <x:v>01_data_audit.ipynb — 100,000-row identifier sample; full-population test planned</x:v>
      </x:c>
      <x:c r="K10" s="31" t="str">
        <x:v>Partially Complete</x:v>
      </x:c>
      <x:c r="L10" s="28" t="str">
        <x:v>Sample passed with zero unmatched records. Full performance-population testing remains required.</x:v>
      </x:c>
    </x:row>
    <x:row r="11" ht="94" customHeight="1">
      <x:c r="A11" s="31" t="str">
        <x:v>EIT-05</x:v>
      </x:c>
      <x:c r="B11" s="31" t="str">
        <x:v>Medium</x:v>
      </x:c>
      <x:c r="C11" s="28" t="str">
        <x:v>Data transformation</x:v>
      </x:c>
      <x:c r="D11" s="28" t="str">
        <x:v>Freddie Mac missing-value codes could be interpreted as real borrower or loan values.</x:v>
      </x:c>
      <x:c r="E11" s="28" t="str">
        <x:v>Convert approved blank and sentinel codes consistently without overwriting raw source data.</x:v>
      </x:c>
      <x:c r="F11" s="28" t="str">
        <x:v>Documented field-level rules convert blank and sentinel values to proper nulls in a separate cleaned table.</x:v>
      </x:c>
      <x:c r="G11" s="31" t="str">
        <x:v>Preventive / Automated</x:v>
      </x:c>
      <x:c r="H11" s="31" t="str">
        <x:v>Per data refresh</x:v>
      </x:c>
      <x:c r="I11" s="28" t="str">
        <x:v>Compare missingness before and after transformation by field and vintage; confirm percentages reconcile.</x:v>
      </x:c>
      <x:c r="J11" s="28" t="str">
        <x:v>01_data_audit.ipynb — missing_value_audit, missing_by_vintage, clean_missing_check</x:v>
      </x:c>
      <x:c r="K11" s="31" t="str">
        <x:v>Complete</x:v>
      </x:c>
      <x:c r="L11" s="28" t="str">
        <x:v>Pass — missingness reconciled after sentinel-to-null conversion.</x:v>
      </x:c>
    </x:row>
    <x:row r="12" ht="94" customHeight="1">
      <x:c r="A12" s="31" t="str">
        <x:v>EIT-06</x:v>
      </x:c>
      <x:c r="B12" s="31" t="str">
        <x:v>Medium</x:v>
      </x:c>
      <x:c r="C12" s="28" t="str">
        <x:v>Data transformation</x:v>
      </x:c>
      <x:c r="D12" s="28" t="str">
        <x:v>Incorrect data types or date parsing could produce invalid calculations and reporting periods.</x:v>
      </x:c>
      <x:c r="E12" s="28" t="str">
        <x:v>Assign valid numeric and date types using documented conversion rules.</x:v>
      </x:c>
      <x:c r="F12" s="28" t="str">
        <x:v>Numeric and YYYYMM date fields are converted with invalid values directed to null for review.</x:v>
      </x:c>
      <x:c r="G12" s="31" t="str">
        <x:v>Preventive / Automated</x:v>
      </x:c>
      <x:c r="H12" s="31" t="str">
        <x:v>Per data refresh</x:v>
      </x:c>
      <x:c r="I12" s="28" t="str">
        <x:v>Validate converted field types, date formats, and unexpected conversion failures.</x:v>
      </x:c>
      <x:c r="J12" s="28" t="str">
        <x:v>01_data_audit.ipynb — originations_clean creation and validation</x:v>
      </x:c>
      <x:c r="K12" s="31" t="str">
        <x:v>Complete</x:v>
      </x:c>
      <x:c r="L12" s="28" t="str">
        <x:v>Pass — numeric and date conversions completed without changing the record population.</x:v>
      </x:c>
    </x:row>
    <x:row r="13" ht="94" customHeight="1">
      <x:c r="A13" s="31" t="str">
        <x:v>EIT-07</x:v>
      </x:c>
      <x:c r="B13" s="31" t="str">
        <x:v>Medium</x:v>
      </x:c>
      <x:c r="C13" s="28" t="str">
        <x:v>Data validation</x:v>
      </x:c>
      <x:c r="D13" s="28" t="str">
        <x:v>Out-of-range values or unexpected category codes could enter risk calculations undetected.</x:v>
      </x:c>
      <x:c r="E13" s="28" t="str">
        <x:v>Identify values outside documented review ranges and approved category sets.</x:v>
      </x:c>
      <x:c r="F13" s="28" t="str">
        <x:v>Automated range and category tests flag exceptions for investigation.</x:v>
      </x:c>
      <x:c r="G13" s="31" t="str">
        <x:v>Detective / Automated</x:v>
      </x:c>
      <x:c r="H13" s="31" t="str">
        <x:v>Per data refresh</x:v>
      </x:c>
      <x:c r="I13" s="28" t="str">
        <x:v>Calculate observed minima, maxima, invalid-code counts, and exception populations for every governed field.</x:v>
      </x:c>
      <x:c r="J13" s="28" t="str">
        <x:v>01_data_audit.ipynb — numeric_range_check and category_check</x:v>
      </x:c>
      <x:c r="K13" s="31" t="str">
        <x:v>Complete</x:v>
      </x:c>
      <x:c r="L13" s="28" t="str">
        <x:v>Pass with review items — ordinary fields passed; three high-ratio loans required investigation.</x:v>
      </x:c>
    </x:row>
    <x:row r="14" ht="94" customHeight="1">
      <x:c r="A14" s="31" t="str">
        <x:v>EIT-08</x:v>
      </x:c>
      <x:c r="B14" s="31" t="str">
        <x:v>Medium</x:v>
      </x:c>
      <x:c r="C14" s="28" t="str">
        <x:v>Exception management</x:v>
      </x:c>
      <x:c r="D14" s="28" t="str">
        <x:v>Valid unusual records could be removed, while genuine errors could be retained, if exceptions are not investigated consistently.</x:v>
      </x:c>
      <x:c r="E14" s="28" t="str">
        <x:v>Require documented review and disposition of material data exceptions.</x:v>
      </x:c>
      <x:c r="F14" s="28" t="str">
        <x:v>Flagged records are evaluated using related attributes and supporting definitions before retention, correction, or exclusion.</x:v>
      </x:c>
      <x:c r="G14" s="31" t="str">
        <x:v>Detective / Manual</x:v>
      </x:c>
      <x:c r="H14" s="31" t="str">
        <x:v>As exceptions occur</x:v>
      </x:c>
      <x:c r="I14" s="28" t="str">
        <x:v>Inspect supporting fields, document rationale and evidence, assign disposition, and retain a reproducible review flag.</x:v>
      </x:c>
      <x:c r="J14" s="28" t="str">
        <x:v>01_data_audit.ipynb — ratio_review and extreme_ratio_review_flag</x:v>
      </x:c>
      <x:c r="K14" s="31" t="str">
        <x:v>Complete</x:v>
      </x:c>
      <x:c r="L14" s="28" t="str">
        <x:v>Pass — three reviewed records were legitimate HARP observations and were retained with a review flag.</x:v>
      </x:c>
    </x:row>
    <x:row r="15" ht="94" customHeight="1">
      <x:c r="A15" s="31" t="str">
        <x:v>EIT-09</x:v>
      </x:c>
      <x:c r="B15" s="31" t="str">
        <x:v>High</x:v>
      </x:c>
      <x:c r="C15" s="28" t="str">
        <x:v>Monthly performance validation</x:v>
      </x:c>
      <x:c r="D15" s="28" t="str">
        <x:v>Duplicate loan-month records could overstate balances, delinquency events, or transition counts.</x:v>
      </x:c>
      <x:c r="E15" s="28" t="str">
        <x:v>Ensure each loan has no more than one record per monthly reporting period.</x:v>
      </x:c>
      <x:c r="F15" s="28" t="str">
        <x:v>A composite loan-identifier and reporting-period uniqueness check identifies duplicates.</x:v>
      </x:c>
      <x:c r="G15" s="31" t="str">
        <x:v>Detective / Automated</x:v>
      </x:c>
      <x:c r="H15" s="31" t="str">
        <x:v>Per performance load</x:v>
      </x:c>
      <x:c r="I15" s="28" t="str">
        <x:v>Count duplicate loan-month keys by vintage and inspect every duplicate population.</x:v>
      </x:c>
      <x:c r="J15" s="28" t="str">
        <x:v>02_performance_audit.ipynb — planned</x:v>
      </x:c>
      <x:c r="K15" s="31" t="str">
        <x:v>Not Started</x:v>
      </x:c>
      <x:c r="L15" s="28" t="str">
        <x:v>Build after the performance-file schema is confirmed.</x:v>
      </x:c>
    </x:row>
    <x:row r="16" ht="94" customHeight="1">
      <x:c r="A16" s="31" t="str">
        <x:v>EIT-10</x:v>
      </x:c>
      <x:c r="B16" s="31" t="str">
        <x:v>Medium</x:v>
      </x:c>
      <x:c r="C16" s="28" t="str">
        <x:v>Monthly performance validation</x:v>
      </x:c>
      <x:c r="D16" s="28" t="str">
        <x:v>Invalid reporting periods or loan ages could create impossible timelines and misleading vintage comparisons.</x:v>
      </x:c>
      <x:c r="E16" s="28" t="str">
        <x:v>Ensure performance dates and loan ages are chronologically valid and internally consistent.</x:v>
      </x:c>
      <x:c r="F16" s="28" t="str">
        <x:v>Date and loan-age validation compares first-payment date, reporting period, loan age, and maturity information.</x:v>
      </x:c>
      <x:c r="G16" s="31" t="str">
        <x:v>Detective / Automated</x:v>
      </x:c>
      <x:c r="H16" s="31" t="str">
        <x:v>Per performance load</x:v>
      </x:c>
      <x:c r="I16" s="28" t="str">
        <x:v>Test for invalid dates, negative ages, nonsequential periods, and inconsistencies between calculated and reported loan age.</x:v>
      </x:c>
      <x:c r="J16" s="28" t="str">
        <x:v>02_performance_audit.ipynb — planned</x:v>
      </x:c>
      <x:c r="K16" s="31" t="str">
        <x:v>Not Started</x:v>
      </x:c>
      <x:c r="L16" s="28" t="str">
        <x:v>Develop memory-safe tests one vintage at a time.</x:v>
      </x:c>
    </x:row>
    <x:row r="17" ht="94" customHeight="1">
      <x:c r="A17" s="31" t="str">
        <x:v>EIT-11</x:v>
      </x:c>
      <x:c r="B17" s="31" t="str">
        <x:v>High</x:v>
      </x:c>
      <x:c r="C17" s="28" t="str">
        <x:v>Monthly performance validation</x:v>
      </x:c>
      <x:c r="D17" s="28" t="str">
        <x:v>Invalid delinquency-status values could misclassify portfolio risk and default outcomes.</x:v>
      </x:c>
      <x:c r="E17" s="28" t="str">
        <x:v>Restrict delinquency statuses to approved values and documented treatments.</x:v>
      </x:c>
      <x:c r="F17" s="28" t="str">
        <x:v>The pipeline validates status codes before calculating delinquency events or transitions.</x:v>
      </x:c>
      <x:c r="G17" s="31" t="str">
        <x:v>Preventive / Automated</x:v>
      </x:c>
      <x:c r="H17" s="31" t="str">
        <x:v>Per performance load</x:v>
      </x:c>
      <x:c r="I17" s="28" t="str">
        <x:v>Profile status values by vintage, compare them with approved definitions, and document treatment of special codes.</x:v>
      </x:c>
      <x:c r="J17" s="28" t="str">
        <x:v>02_performance_audit.ipynb — planned</x:v>
      </x:c>
      <x:c r="K17" s="31" t="str">
        <x:v>Not Started</x:v>
      </x:c>
      <x:c r="L17" s="28" t="str">
        <x:v>Complete before deriving 90-plus-day delinquency outcomes.</x:v>
      </x:c>
    </x:row>
    <x:row r="18" ht="94" customHeight="1">
      <x:c r="A18" s="31" t="str">
        <x:v>EIT-12</x:v>
      </x:c>
      <x:c r="B18" s="31" t="str">
        <x:v>High</x:v>
      </x:c>
      <x:c r="C18" s="28" t="str">
        <x:v>Outcome-window construction</x:v>
      </x:c>
      <x:c r="D18" s="28" t="str">
        <x:v>Loans with incomplete observation windows could be incorrectly classified as nondefault.</x:v>
      </x:c>
      <x:c r="E18" s="28" t="str">
        <x:v>Include only loans with sufficient performance coverage for the selected outcome horizon.</x:v>
      </x:c>
      <x:c r="F18" s="28" t="str">
        <x:v>Eligibility rules verify 24- or 36-month coverage before assigning a negative outcome.</x:v>
      </x:c>
      <x:c r="G18" s="31" t="str">
        <x:v>Preventive / Automated</x:v>
      </x:c>
      <x:c r="H18" s="31" t="str">
        <x:v>Per outcome build</x:v>
      </x:c>
      <x:c r="I18" s="28" t="str">
        <x:v>Measure available follow-up for every loan and exclude or separately label loans without the required horizon.</x:v>
      </x:c>
      <x:c r="J18" s="28" t="str">
        <x:v>Outcome construction workpaper — planned</x:v>
      </x:c>
      <x:c r="K18" s="31" t="str">
        <x:v>Not Started</x:v>
      </x:c>
      <x:c r="L18" s="28" t="str">
        <x:v>Required before baseline PD modeling and 2006-versus-2016 comparison.</x:v>
      </x:c>
    </x:row>
    <x:row r="19" ht="94" customHeight="1">
      <x:c r="A19" s="31" t="str">
        <x:v>EIT-13</x:v>
      </x:c>
      <x:c r="B19" s="31" t="str">
        <x:v>High</x:v>
      </x:c>
      <x:c r="C19" s="28" t="str">
        <x:v>Risk-measure calculation</x:v>
      </x:c>
      <x:c r="D19" s="28" t="str">
        <x:v>Coding errors could produce incorrect delinquency or default outcomes.</x:v>
      </x:c>
      <x:c r="E19" s="28" t="str">
        <x:v>Ensure loan-level outcomes agree with the underlying monthly performance records.</x:v>
      </x:c>
      <x:c r="F19" s="28" t="str">
        <x:v>An independent recalculation and targeted sample review validates derived 90-plus-day delinquency flags.</x:v>
      </x:c>
      <x:c r="G19" s="31" t="str">
        <x:v>Detective / Hybrid</x:v>
      </x:c>
      <x:c r="H19" s="31" t="str">
        <x:v>Per methodology change</x:v>
      </x:c>
      <x:c r="I19" s="28" t="str">
        <x:v>Recalculate outcomes independently for selected loans and reconcile event dates and statuses to the production logic.</x:v>
      </x:c>
      <x:c r="J19" s="28" t="str">
        <x:v>Testing workpaper — planned</x:v>
      </x:c>
      <x:c r="K19" s="31" t="str">
        <x:v>Not Started</x:v>
      </x:c>
      <x:c r="L19" s="28" t="str">
        <x:v>Perform after the chunked loan-level outcome table is created.</x:v>
      </x:c>
    </x:row>
    <x:row r="20" ht="94" customHeight="1">
      <x:c r="A20" s="31" t="str">
        <x:v>EIT-14</x:v>
      </x:c>
      <x:c r="B20" s="31" t="str">
        <x:v>High</x:v>
      </x:c>
      <x:c r="C20" s="28" t="str">
        <x:v>Model development</x:v>
      </x:c>
      <x:c r="D20" s="28" t="str">
        <x:v>Future performance information could leak into model predictors and overstate model effectiveness.</x:v>
      </x:c>
      <x:c r="E20" s="28" t="str">
        <x:v>Separate predictor observation dates from outcome periods and prohibit post-origination predictors in the baseline PD model.</x:v>
      </x:c>
      <x:c r="F20" s="28" t="str">
        <x:v>A documented feature review and time-based train-test split prevent future-information leakage.</x:v>
      </x:c>
      <x:c r="G20" s="31" t="str">
        <x:v>Preventive / Manual</x:v>
      </x:c>
      <x:c r="H20" s="31" t="str">
        <x:v>Per model version</x:v>
      </x:c>
      <x:c r="I20" s="28" t="str">
        <x:v>Review every predictor's availability date and validate the 2015–2016 training and 2017 testing design.</x:v>
      </x:c>
      <x:c r="J20" s="28" t="str">
        <x:v>Model methodology workpaper — planned</x:v>
      </x:c>
      <x:c r="K20" s="31" t="str">
        <x:v>Not Started</x:v>
      </x:c>
      <x:c r="L20" s="28" t="str">
        <x:v>Complete before fitting the logistic-regression PD model.</x:v>
      </x:c>
    </x:row>
    <x:row r="21" ht="94" customHeight="1">
      <x:c r="A21" s="32" t="str">
        <x:v>EIT-15</x:v>
      </x:c>
      <x:c r="B21" s="32" t="str">
        <x:v>High</x:v>
      </x:c>
      <x:c r="C21" s="29" t="str">
        <x:v>Reporting and monitoring</x:v>
      </x:c>
      <x:c r="D21" s="29" t="str">
        <x:v>Dashboards or reports could disagree with validated analytical populations and calculations.</x:v>
      </x:c>
      <x:c r="E21" s="29" t="str">
        <x:v>Reconcile reported totals and risk indicators to approved processed data and independent calculations.</x:v>
      </x:c>
      <x:c r="F21" s="29" t="str">
        <x:v>Reporting outputs are tied to controlled summary tables and checked against source-population totals.</x:v>
      </x:c>
      <x:c r="G21" s="32" t="str">
        <x:v>Detective / Hybrid</x:v>
      </x:c>
      <x:c r="H21" s="32" t="str">
        <x:v>Per reporting cycle</x:v>
      </x:c>
      <x:c r="I21" s="29" t="str">
        <x:v>Reperform key totals, compare report and source populations, and document differences and remediation.</x:v>
      </x:c>
      <x:c r="J21" s="29" t="str">
        <x:v>Testing results summary and dashboard reconciliation — planned</x:v>
      </x:c>
      <x:c r="K21" s="32" t="str">
        <x:v>Not Started</x:v>
      </x:c>
      <x:c r="L21" s="29" t="str">
        <x:v>Execute when portfolio summaries and monitoring outputs are available.</x:v>
      </x:c>
    </x:row>
  </x:sheetData>
  <x:mergeCells>
    <x:mergeCell ref="A1:L1"/>
    <x:mergeCell ref="A2:L2"/>
    <x:mergeCell ref="A3:L4"/>
  </x:mergeCells>
  <x:conditionalFormatting sqref="B7:B21">
    <x:cfRule type="expression" dxfId="0" priority="1">
      <x:formula>$B7="High"</x:formula>
    </x:cfRule>
    <x:cfRule type="expression" dxfId="1" priority="2">
      <x:formula>$B7="Medium"</x:formula>
    </x:cfRule>
  </x:conditionalFormatting>
  <x:conditionalFormatting sqref="K7:K21">
    <x:cfRule type="expression" dxfId="2" priority="3">
      <x:formula>$K7="Complete"</x:formula>
    </x:cfRule>
    <x:cfRule type="expression" dxfId="3" priority="4">
      <x:formula>$K7="Partially Complete"</x:formula>
    </x:cfRule>
    <x:cfRule type="expression" dxfId="4" priority="5">
      <x:formula>$K7="Not Started"</x:formula>
    </x:cfRule>
  </x:conditionalFormatting>
  <x:dataValidations count="2">
    <x:dataValidation type="list" sqref="B7:B21">
      <x:formula1>"High,Medium,Low"</x:formula1>
    </x:dataValidation>
    <x:dataValidation type="list" sqref="K7:K21">
      <x:formula1>"Complete,Partially Complete,Not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bebdebf2004cc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2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120" t="str">
        <x:v>EIT Testing Summary</x:v>
      </x:c>
      <x:c r="B1" s="120"/>
      <x:c r="C1" s="120"/>
      <x:c r="D1" s="120"/>
      <x:c r="E1" s="120"/>
      <x:c r="F1" s="120"/>
      <x:c r="G1" s="120"/>
      <x:c r="H1" s="120"/>
    </x:row>
    <x:row r="2">
      <x:c r="A2" s="95" t="str">
        <x:v>Progress and priorities derived from the Risk-Control Matrix</x:v>
      </x:c>
      <x:c r="B2" s="95"/>
      <x:c r="C2" s="95"/>
      <x:c r="D2" s="95"/>
      <x:c r="E2" s="95"/>
      <x:c r="F2" s="95"/>
      <x:c r="G2" s="95"/>
      <x:c r="H2" s="95"/>
    </x:row>
    <x:row r="3">
      <x:c r="A3" s="96"/>
      <x:c r="B3" s="96"/>
      <x:c r="C3" s="96"/>
      <x:c r="D3" s="96"/>
      <x:c r="E3" s="96"/>
      <x:c r="F3" s="96"/>
      <x:c r="G3" s="96"/>
      <x:c r="H3" s="96"/>
    </x:row>
    <x:row r="4">
      <x:c r="A4" s="121" t="str">
        <x:v>Testing Progress</x:v>
      </x:c>
      <x:c r="B4" s="121"/>
      <x:c r="C4" s="96"/>
      <x:c r="D4" s="121" t="str">
        <x:v>Risk Priorities</x:v>
      </x:c>
      <x:c r="E4" s="121"/>
      <x:c r="F4" s="96"/>
      <x:c r="G4" s="96"/>
      <x:c r="H4" s="96"/>
    </x:row>
    <x:row r="5">
      <x:c r="A5" s="98" t="str">
        <x:v>Total tests</x:v>
      </x:c>
      <x:c r="B5" s="99" t="n">
        <x:f>COUNTA('Risk-Control Matrix'!$A$7:$A$21)</x:f>
        <x:v>15</x:v>
      </x:c>
      <x:c r="C5" s="96"/>
      <x:c r="D5" s="98" t="str">
        <x:v>High</x:v>
      </x:c>
      <x:c r="E5" s="99" t="n">
        <x:f>COUNTIF('Risk-Control Matrix'!$B$7:$B$21,"High")</x:f>
        <x:v>10</x:v>
      </x:c>
      <x:c r="F5" s="96"/>
      <x:c r="G5" s="96"/>
      <x:c r="H5" s="96"/>
    </x:row>
    <x:row r="6">
      <x:c r="A6" s="98" t="str">
        <x:v>Complete</x:v>
      </x:c>
      <x:c r="B6" s="99" t="n">
        <x:f>COUNTIF('Risk-Control Matrix'!$K$7:$K$21,"Complete")</x:f>
        <x:v>6</x:v>
      </x:c>
      <x:c r="C6" s="96"/>
      <x:c r="D6" s="98" t="str">
        <x:v>Medium</x:v>
      </x:c>
      <x:c r="E6" s="99" t="n">
        <x:f>COUNTIF('Risk-Control Matrix'!$B$7:$B$21,"Medium")</x:f>
        <x:v>5</x:v>
      </x:c>
      <x:c r="F6" s="96"/>
      <x:c r="G6" s="96"/>
      <x:c r="H6" s="96"/>
    </x:row>
    <x:row r="7">
      <x:c r="A7" s="98" t="str">
        <x:v>Partially complete</x:v>
      </x:c>
      <x:c r="B7" s="99" t="n">
        <x:f>COUNTIF('Risk-Control Matrix'!$K$7:$K$21,"Partially Complete")</x:f>
        <x:v>2</x:v>
      </x:c>
      <x:c r="C7" s="96"/>
      <x:c r="D7" s="98" t="str">
        <x:v>Low</x:v>
      </x:c>
      <x:c r="E7" s="99" t="n">
        <x:f>COUNTIF('Risk-Control Matrix'!$B$7:$B$21,"Low")</x:f>
        <x:v>0</x:v>
      </x:c>
      <x:c r="F7" s="96"/>
      <x:c r="G7" s="96"/>
      <x:c r="H7" s="96"/>
    </x:row>
    <x:row r="8">
      <x:c r="A8" s="98" t="str">
        <x:v>Not started</x:v>
      </x:c>
      <x:c r="B8" s="99" t="n">
        <x:f>COUNTIF('Risk-Control Matrix'!$K$7:$K$21,"Not Started")</x:f>
        <x:v>7</x:v>
      </x:c>
      <x:c r="C8" s="96"/>
      <x:c r="D8" s="96"/>
      <x:c r="E8" s="96"/>
      <x:c r="F8" s="96"/>
      <x:c r="G8" s="96"/>
      <x:c r="H8" s="96"/>
    </x:row>
    <x:row r="9">
      <x:c r="A9" s="98" t="str">
        <x:v>Completion rate</x:v>
      </x:c>
      <x:c r="B9" s="100" t="n">
        <x:f>B6/B5</x:f>
        <x:v>0.4</x:v>
      </x:c>
      <x:c r="C9" s="96"/>
      <x:c r="D9" s="96"/>
      <x:c r="E9" s="96"/>
      <x:c r="F9" s="96"/>
      <x:c r="G9" s="96"/>
      <x:c r="H9" s="96"/>
    </x:row>
    <x:row r="10">
      <x:c r="A10" s="96"/>
      <x:c r="B10" s="96"/>
      <x:c r="C10" s="96"/>
      <x:c r="D10" s="96"/>
      <x:c r="E10" s="96"/>
      <x:c r="F10" s="96"/>
      <x:c r="G10" s="96"/>
      <x:c r="H10" s="96"/>
    </x:row>
    <x:row r="11">
      <x:c r="A11" s="122" t="str">
        <x:v>Current Assessment</x:v>
      </x:c>
      <x:c r="B11" s="122"/>
      <x:c r="C11" s="122"/>
      <x:c r="D11" s="122"/>
      <x:c r="E11" s="122"/>
      <x:c r="F11" s="122"/>
      <x:c r="G11" s="122"/>
      <x:c r="H11" s="122"/>
    </x:row>
    <x:row r="12" ht="28" customHeight="1">
      <x:c r="A12" s="102" t="str">
        <x:v>The completed origination audit provides evidence of data completeness, identifier integrity, missing-value treatment, range and category validation, and documented exception review. The strongest remaining gap is control testing over the full monthly performance population and the derived delinquency outcomes.</x:v>
      </x:c>
      <x:c r="B12" s="103"/>
      <x:c r="C12" s="103"/>
      <x:c r="D12" s="103"/>
      <x:c r="E12" s="103"/>
      <x:c r="F12" s="103"/>
      <x:c r="G12" s="103"/>
      <x:c r="H12" s="104"/>
    </x:row>
    <x:row r="13" ht="28" customHeight="1">
      <x:c r="A13" s="105"/>
      <x:c r="B13" s="106"/>
      <x:c r="C13" s="106"/>
      <x:c r="D13" s="106"/>
      <x:c r="E13" s="106"/>
      <x:c r="F13" s="106"/>
      <x:c r="G13" s="106"/>
      <x:c r="H13" s="107"/>
    </x:row>
    <x:row r="14" ht="28" customHeight="1">
      <x:c r="A14" s="108"/>
      <x:c r="B14" s="109"/>
      <x:c r="C14" s="109"/>
      <x:c r="D14" s="109"/>
      <x:c r="E14" s="109"/>
      <x:c r="F14" s="109"/>
      <x:c r="G14" s="109"/>
      <x:c r="H14" s="110"/>
    </x:row>
    <x:row r="15">
      <x:c r="A15" s="96"/>
      <x:c r="B15" s="96"/>
      <x:c r="C15" s="96"/>
      <x:c r="D15" s="96"/>
      <x:c r="E15" s="96"/>
      <x:c r="F15" s="96"/>
      <x:c r="G15" s="96"/>
      <x:c r="H15" s="96"/>
    </x:row>
    <x:row r="16">
      <x:c r="A16" s="122" t="str">
        <x:v>Next Testing Phase</x:v>
      </x:c>
      <x:c r="B16" s="122"/>
      <x:c r="C16" s="122"/>
      <x:c r="D16" s="122"/>
      <x:c r="E16" s="122"/>
      <x:c r="F16" s="122"/>
      <x:c r="G16" s="122"/>
      <x:c r="H16" s="122"/>
    </x:row>
    <x:row r="17" ht="28" customHeight="1">
      <x:c r="A17" s="111" t="str">
        <x:v>Create 02_performance_audit.ipynb and process one vintage at a time in memory-safe chunks. Confirm the performance schema, population completeness, duplicate loan-month records, reporting periods, loan ages, delinquency statuses, follow-up coverage, and full-population referential integrity before constructing 24- and 36-month outcomes.</x:v>
      </x:c>
      <x:c r="B17" s="112"/>
      <x:c r="C17" s="112"/>
      <x:c r="D17" s="112"/>
      <x:c r="E17" s="112"/>
      <x:c r="F17" s="112"/>
      <x:c r="G17" s="112"/>
      <x:c r="H17" s="113"/>
    </x:row>
    <x:row r="18" ht="28" customHeight="1">
      <x:c r="A18" s="114"/>
      <x:c r="B18" s="115"/>
      <x:c r="C18" s="115"/>
      <x:c r="D18" s="115"/>
      <x:c r="E18" s="115"/>
      <x:c r="F18" s="115"/>
      <x:c r="G18" s="115"/>
      <x:c r="H18" s="116"/>
    </x:row>
    <x:row r="19" ht="28" customHeight="1">
      <x:c r="A19" s="114"/>
      <x:c r="B19" s="115"/>
      <x:c r="C19" s="115"/>
      <x:c r="D19" s="115"/>
      <x:c r="E19" s="115"/>
      <x:c r="F19" s="115"/>
      <x:c r="G19" s="115"/>
      <x:c r="H19" s="116"/>
    </x:row>
    <x:row r="20" ht="28" customHeight="1">
      <x:c r="A20" s="117"/>
      <x:c r="B20" s="118"/>
      <x:c r="C20" s="118"/>
      <x:c r="D20" s="118"/>
      <x:c r="E20" s="118"/>
      <x:c r="F20" s="118"/>
      <x:c r="G20" s="118"/>
      <x:c r="H20" s="119"/>
    </x:row>
  </x:sheetData>
  <x:mergeCells>
    <x:mergeCell ref="A1:H1"/>
    <x:mergeCell ref="A2:H2"/>
    <x:mergeCell ref="A4:B4"/>
    <x:mergeCell ref="D4:E4"/>
    <x:mergeCell ref="A11:H11"/>
    <x:mergeCell ref="A12:H14"/>
    <x:mergeCell ref="A16:H16"/>
    <x:mergeCell ref="A17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52" hidden="0" customWidth="1"/>
  </x:cols>
  <x:sheetData>
    <x:row r="1">
      <x:c r="A1" s="2" t="str">
        <x:v>Definitions and Scope Notes</x:v>
      </x:c>
      <x:c r="B1" s="2"/>
      <x:c r="C1" s="2"/>
      <x:c r="D1" s="2"/>
    </x:row>
    <x:row r="3">
      <x:c r="A3" s="128" t="str">
        <x:v>Category</x:v>
      </x:c>
      <x:c r="B3" s="128" t="str">
        <x:v>Term</x:v>
      </x:c>
      <x:c r="C3" s="128" t="str">
        <x:v>Definition</x:v>
      </x:c>
      <x:c r="D3" s="128" t="str">
        <x:v>Application in this case study</x:v>
      </x:c>
    </x:row>
    <x:row r="4" ht="56" customHeight="1">
      <x:c r="A4" s="135" t="str">
        <x:v>Scope</x:v>
      </x:c>
      <x:c r="B4" s="136" t="str">
        <x:v>Simulated EIT case study</x:v>
      </x:c>
      <x:c r="C4" s="129" t="str">
        <x:v>A portfolio exercise that applies independent-testing concepts to a hypothetical mortgage data process.</x:v>
      </x:c>
      <x:c r="D4" s="129" t="str">
        <x:v>Does not represent an assessment of Freddie Mac's internal controls.</x:v>
      </x:c>
    </x:row>
    <x:row r="5" ht="56" customHeight="1">
      <x:c r="A5" s="137" t="str">
        <x:v>Status</x:v>
      </x:c>
      <x:c r="B5" s="138" t="str">
        <x:v>Complete</x:v>
      </x:c>
      <x:c r="C5" s="130" t="str">
        <x:v>The planned procedure has been executed and evidence supports a preliminary conclusion.</x:v>
      </x:c>
      <x:c r="D5" s="130" t="str">
        <x:v>Six origination-data tests currently meet this definition.</x:v>
      </x:c>
    </x:row>
    <x:row r="6" ht="56" customHeight="1">
      <x:c r="A6" s="137" t="str">
        <x:v>Status</x:v>
      </x:c>
      <x:c r="B6" s="138" t="str">
        <x:v>Partially Complete</x:v>
      </x:c>
      <x:c r="C6" s="130" t="str">
        <x:v>Some testing has been performed, but the intended population or control scope is not yet fully covered.</x:v>
      </x:c>
      <x:c r="D6" s="130" t="str">
        <x:v>Used for schema and referential-integrity testing pending full performance-file work.</x:v>
      </x:c>
    </x:row>
    <x:row r="7" ht="56" customHeight="1">
      <x:c r="A7" s="137" t="str">
        <x:v>Status</x:v>
      </x:c>
      <x:c r="B7" s="138" t="str">
        <x:v>Not Started</x:v>
      </x:c>
      <x:c r="C7" s="130" t="str">
        <x:v>The procedure is designed but has not yet been executed.</x:v>
      </x:c>
      <x:c r="D7" s="130" t="str">
        <x:v>Primarily applies to monthly performance, outcome, model, and reporting tests.</x:v>
      </x:c>
    </x:row>
    <x:row r="8" ht="56" customHeight="1">
      <x:c r="A8" s="137" t="str">
        <x:v>Classification</x:v>
      </x:c>
      <x:c r="B8" s="138" t="str">
        <x:v>Preventive</x:v>
      </x:c>
      <x:c r="C8" s="130" t="str">
        <x:v>Designed to stop invalid or unauthorized processing before it affects downstream outputs.</x:v>
      </x:c>
      <x:c r="D8" s="130" t="str">
        <x:v>Examples include schema gates and approved feature-date reviews.</x:v>
      </x:c>
    </x:row>
    <x:row r="9" ht="56" customHeight="1">
      <x:c r="A9" s="137" t="str">
        <x:v>Classification</x:v>
      </x:c>
      <x:c r="B9" s="138" t="str">
        <x:v>Detective</x:v>
      </x:c>
      <x:c r="C9" s="130" t="str">
        <x:v>Designed to identify errors or exceptions after data is received or processed.</x:v>
      </x:c>
      <x:c r="D9" s="130" t="str">
        <x:v>Examples include reconciliations, duplicate checks, and exception reviews.</x:v>
      </x:c>
    </x:row>
    <x:row r="10" ht="56" customHeight="1">
      <x:c r="A10" s="137" t="str">
        <x:v>Execution</x:v>
      </x:c>
      <x:c r="B10" s="138" t="str">
        <x:v>Automated</x:v>
      </x:c>
      <x:c r="C10" s="130" t="str">
        <x:v>Performed consistently through programmed rules or scripts.</x:v>
      </x:c>
      <x:c r="D10" s="130" t="str">
        <x:v>Most population-level data tests are automated in Python.</x:v>
      </x:c>
    </x:row>
    <x:row r="11" ht="56" customHeight="1">
      <x:c r="A11" s="137" t="str">
        <x:v>Execution</x:v>
      </x:c>
      <x:c r="B11" s="138" t="str">
        <x:v>Manual</x:v>
      </x:c>
      <x:c r="C11" s="130" t="str">
        <x:v>Requires human judgment, review, or documented disposition.</x:v>
      </x:c>
      <x:c r="D11" s="130" t="str">
        <x:v>Used for exception investigation and methodology review.</x:v>
      </x:c>
    </x:row>
    <x:row r="12" ht="56" customHeight="1">
      <x:c r="A12" s="137" t="str">
        <x:v>Execution</x:v>
      </x:c>
      <x:c r="B12" s="138" t="str">
        <x:v>Hybrid</x:v>
      </x:c>
      <x:c r="C12" s="130" t="str">
        <x:v>Combines automated calculations with manual review or approval.</x:v>
      </x:c>
      <x:c r="D12" s="130" t="str">
        <x:v>Used for outcome validation and reporting reconciliation.</x:v>
      </x:c>
    </x:row>
    <x:row r="13" ht="56" customHeight="1">
      <x:c r="A13" s="137" t="str">
        <x:v>Evidence</x:v>
      </x:c>
      <x:c r="B13" s="138" t="str">
        <x:v>01_data_audit.ipynb</x:v>
      </x:c>
      <x:c r="C13" s="130" t="str">
        <x:v>Completed origination audit through export and reload validation.</x:v>
      </x:c>
      <x:c r="D13" s="130" t="str">
        <x:v>Primary evidence for EIT-01 through EIT-08.</x:v>
      </x:c>
    </x:row>
    <x:row r="14" ht="56" customHeight="1">
      <x:c r="A14" s="137" t="str">
        <x:v>Evidence</x:v>
      </x:c>
      <x:c r="B14" s="138" t="str">
        <x:v>02_performance_audit.ipynb</x:v>
      </x:c>
      <x:c r="C14" s="130" t="str">
        <x:v>Planned memory-safe audit of monthly performance files.</x:v>
      </x:c>
      <x:c r="D14" s="130" t="str">
        <x:v>Will support EIT-01, EIT-04, and EIT-09 through EIT-12.</x:v>
      </x:c>
    </x:row>
    <x:row r="15" ht="56" customHeight="1">
      <x:c r="A15" s="139" t="str">
        <x:v>Data constraint</x:v>
      </x:c>
      <x:c r="B15" s="140" t="str">
        <x:v>8 GB RAM</x:v>
      </x:c>
      <x:c r="C15" s="131" t="str">
        <x:v>The computer cannot safely load every monthly performance file simultaneously.</x:v>
      </x:c>
      <x:c r="D15" s="131" t="str">
        <x:v>Process one vintage at a time, read chunks, retain needed columns, and save compact outputs.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3ac10c1c121940fa"/>
  </x:tableParts>
</x:worksheet>
</file>