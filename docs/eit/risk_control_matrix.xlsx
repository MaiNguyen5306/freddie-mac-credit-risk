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 Projects\freddie-mac-credit-risk\docs\eit\"/>
    </mc:Choice>
  </mc:AlternateContent>
  <xr:revisionPtr revIDLastSave="0" documentId="13_ncr:1_{7B155870-8FFA-40D1-9B92-AE0F3F528EA0}" xr6:coauthVersionLast="47" xr6:coauthVersionMax="47" xr10:uidLastSave="{00000000-0000-0000-0000-000000000000}"/>
  <bookViews>
    <workbookView xWindow="-108" yWindow="-108" windowWidth="18648" windowHeight="11784" xr2:uid="{00000000-000D-0000-FFFF-FFFF00000000}"/>
  </bookViews>
  <sheets>
    <sheet name="Risk-Control Matrix" sheetId="1" r:id="rId1"/>
    <sheet name="Test Summary" sheetId="2" r:id="rId2"/>
    <sheet name="Defini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E7" i="2"/>
  <c r="B7" i="2"/>
  <c r="E6" i="2"/>
  <c r="B6" i="2"/>
  <c r="B9" i="2" s="1"/>
  <c r="E5" i="2"/>
  <c r="B5" i="2"/>
</calcChain>
</file>

<file path=xl/sharedStrings.xml><?xml version="1.0" encoding="utf-8"?>
<sst xmlns="http://schemas.openxmlformats.org/spreadsheetml/2006/main" count="264" uniqueCount="204">
  <si>
    <t>Mortgage Data and Credit-Risk Reporting — Risk and Control Matrix</t>
  </si>
  <si>
    <t>Simulated Enterprise Independent Testing case study using public Freddie Mac loan-level data</t>
  </si>
  <si>
    <t>Important limitation: The controls and organizational roles in this workbook are hypothetical. The case study does not assess Freddie Mac's internal controls or claim access to internal systems, procedures, personnel, or evidence.</t>
  </si>
  <si>
    <t>Test ID</t>
  </si>
  <si>
    <t>Priority</t>
  </si>
  <si>
    <t>Process Stage</t>
  </si>
  <si>
    <t>Risk Statement</t>
  </si>
  <si>
    <t>Control Objective</t>
  </si>
  <si>
    <t>Illustrative Control</t>
  </si>
  <si>
    <t>Classification</t>
  </si>
  <si>
    <t>Frequency</t>
  </si>
  <si>
    <t>EIT Testing Procedure</t>
  </si>
  <si>
    <t>Evidence / Workpaper Reference</t>
  </si>
  <si>
    <t>Status</t>
  </si>
  <si>
    <t>Preliminary Conclusion / Next Step</t>
  </si>
  <si>
    <t>EIT-01</t>
  </si>
  <si>
    <t>High</t>
  </si>
  <si>
    <t>Data acquisition and ingestion</t>
  </si>
  <si>
    <t>Incorrect or incomplete file layouts could cause fields to be omitted, shifted, or misinterpreted.</t>
  </si>
  <si>
    <t>Confirm that each received file matches the approved layout before transformation.</t>
  </si>
  <si>
    <t>The ingestion process verifies file existence, column count, field order, and approved schema for each vintage.</t>
  </si>
  <si>
    <t>Preventive / Automated</t>
  </si>
  <si>
    <t>Per file load</t>
  </si>
  <si>
    <t>Compare detected file structure with the documented schema; investigate every mismatch before processing continues.</t>
  </si>
  <si>
    <t>Partially Complete</t>
  </si>
  <si>
    <t>EIT-02</t>
  </si>
  <si>
    <t>Data ingestion</t>
  </si>
  <si>
    <t>Records could be lost or duplicated during cleaning and export, producing incomplete or overstated reporting populations.</t>
  </si>
  <si>
    <t>Preserve population completeness from raw ingestion through the processed output.</t>
  </si>
  <si>
    <t>Row counts are reconciled between raw, cleaned, exported, and reloaded datasets.</t>
  </si>
  <si>
    <t>Detective / Automated</t>
  </si>
  <si>
    <t>Per data refresh</t>
  </si>
  <si>
    <t>Compare population counts at each processing stage and investigate any nonzero difference.</t>
  </si>
  <si>
    <t>01_data_audit.ipynb — cleaning_check, export_check, parquet_validation</t>
  </si>
  <si>
    <t>Complete</t>
  </si>
  <si>
    <t>Pass — 200,000 raw, cleaned, exported, and reloaded origination records reconciled.</t>
  </si>
  <si>
    <t>EIT-03</t>
  </si>
  <si>
    <t>Data validation</t>
  </si>
  <si>
    <t>Missing or duplicate loan identifiers could prevent accurate record tracing and distort portfolio results.</t>
  </si>
  <si>
    <t>Ensure every origination record has one valid and unique loan identifier.</t>
  </si>
  <si>
    <t>The pipeline tests identifiers for nulls and duplicates before downstream processing.</t>
  </si>
  <si>
    <t>Calculate missing and duplicate identifier counts and require both results to equal zero.</t>
  </si>
  <si>
    <t>01_data_audit.ipynb — schema_check and cleaning_check</t>
  </si>
  <si>
    <t>Pass — all 200,000 origination identifiers were unique and nonmissing.</t>
  </si>
  <si>
    <t>EIT-04</t>
  </si>
  <si>
    <t>Data integration</t>
  </si>
  <si>
    <t>Performance records could be linked to nonexistent or incorrect origination loans.</t>
  </si>
  <si>
    <t>Ensure every monthly performance record can be traced to a valid origination record.</t>
  </si>
  <si>
    <t>Referential-integrity testing compares performance identifiers with the approved origination population.</t>
  </si>
  <si>
    <t>Per performance load</t>
  </si>
  <si>
    <t>Test the full performance population for unmatched loan identifiers and investigate all exceptions.</t>
  </si>
  <si>
    <t>EIT-05</t>
  </si>
  <si>
    <t>Medium</t>
  </si>
  <si>
    <t>Data transformation</t>
  </si>
  <si>
    <t>Freddie Mac missing-value codes could be interpreted as real borrower or loan values.</t>
  </si>
  <si>
    <t>Convert approved blank and sentinel codes consistently without overwriting raw source data.</t>
  </si>
  <si>
    <t>Documented field-level rules convert blank and sentinel values to proper nulls in a separate cleaned table.</t>
  </si>
  <si>
    <t>Compare missingness before and after transformation by field and vintage; confirm percentages reconcile.</t>
  </si>
  <si>
    <t>01_data_audit.ipynb — missing_value_audit, missing_by_vintage, clean_missing_check</t>
  </si>
  <si>
    <t>Pass — missingness reconciled after sentinel-to-null conversion.</t>
  </si>
  <si>
    <t>EIT-06</t>
  </si>
  <si>
    <t>Incorrect data types or date parsing could produce invalid calculations and reporting periods.</t>
  </si>
  <si>
    <t>Assign valid numeric and date types using documented conversion rules.</t>
  </si>
  <si>
    <t>Numeric and YYYYMM date fields are converted with invalid values directed to null for review.</t>
  </si>
  <si>
    <t>Validate converted field types, date formats, and unexpected conversion failures.</t>
  </si>
  <si>
    <t>01_data_audit.ipynb — originations_clean creation and validation</t>
  </si>
  <si>
    <t>Pass — numeric and date conversions completed without changing the record population.</t>
  </si>
  <si>
    <t>EIT-07</t>
  </si>
  <si>
    <t>Out-of-range values or unexpected category codes could enter risk calculations undetected.</t>
  </si>
  <si>
    <t>Identify values outside documented review ranges and approved category sets.</t>
  </si>
  <si>
    <t>Automated range and category tests flag exceptions for investigation.</t>
  </si>
  <si>
    <t>Calculate observed minima, maxima, invalid-code counts, and exception populations for every governed field.</t>
  </si>
  <si>
    <t>01_data_audit.ipynb — numeric_range_check and category_check</t>
  </si>
  <si>
    <t>Pass with review items — ordinary fields passed; three high-ratio loans required investigation.</t>
  </si>
  <si>
    <t>EIT-08</t>
  </si>
  <si>
    <t>Exception management</t>
  </si>
  <si>
    <t>Valid unusual records could be removed, while genuine errors could be retained, if exceptions are not investigated consistently.</t>
  </si>
  <si>
    <t>Require documented review and disposition of material data exceptions.</t>
  </si>
  <si>
    <t>Flagged records are evaluated using related attributes and supporting definitions before retention, correction, or exclusion.</t>
  </si>
  <si>
    <t>Detective / Manual</t>
  </si>
  <si>
    <t>As exceptions occur</t>
  </si>
  <si>
    <t>Inspect supporting fields, document rationale and evidence, assign disposition, and retain a reproducible review flag.</t>
  </si>
  <si>
    <t>01_data_audit.ipynb — ratio_review and extreme_ratio_review_flag</t>
  </si>
  <si>
    <t>Pass — three reviewed records were legitimate HARP observations and were retained with a review flag.</t>
  </si>
  <si>
    <t>EIT-09</t>
  </si>
  <si>
    <t>Monthly performance validation</t>
  </si>
  <si>
    <t>Duplicate loan-month records could overstate balances, delinquency events, or transition counts.</t>
  </si>
  <si>
    <t>Ensure each loan has no more than one record per monthly reporting period.</t>
  </si>
  <si>
    <t>A composite loan-identifier and reporting-period uniqueness check identifies duplicates.</t>
  </si>
  <si>
    <t>Count duplicate loan-month keys by vintage and inspect every duplicate population.</t>
  </si>
  <si>
    <t>Not Started</t>
  </si>
  <si>
    <t>EIT-10</t>
  </si>
  <si>
    <t>Invalid reporting periods or loan ages could create impossible timelines and misleading vintage comparisons.</t>
  </si>
  <si>
    <t>Ensure performance dates and loan ages are chronologically valid and internally consistent.</t>
  </si>
  <si>
    <t>Date and loan-age validation compares first-payment date, reporting period, loan age, and maturity information.</t>
  </si>
  <si>
    <t>Test for invalid dates, negative ages, nonsequential periods, and inconsistencies between calculated and reported loan age.</t>
  </si>
  <si>
    <t>EIT-11</t>
  </si>
  <si>
    <t>Invalid delinquency-status values could misclassify portfolio risk and default outcomes.</t>
  </si>
  <si>
    <t>Restrict delinquency statuses to approved values and documented treatments.</t>
  </si>
  <si>
    <t>The pipeline validates status codes before calculating delinquency events or transitions.</t>
  </si>
  <si>
    <t>Profile status values by vintage, compare them with approved definitions, and document treatment of special codes.</t>
  </si>
  <si>
    <t>EIT-12</t>
  </si>
  <si>
    <t>Outcome-window construction</t>
  </si>
  <si>
    <t>Loans with incomplete observation windows could be incorrectly classified as nondefault.</t>
  </si>
  <si>
    <t>Include only loans with sufficient performance coverage for the selected outcome horizon.</t>
  </si>
  <si>
    <t>Eligibility rules verify 24- or 36-month coverage before assigning a negative outcome.</t>
  </si>
  <si>
    <t>Per outcome build</t>
  </si>
  <si>
    <t>Measure available follow-up for every loan and exclude or separately label loans without the required horizon.</t>
  </si>
  <si>
    <t>EIT-13</t>
  </si>
  <si>
    <t>Risk-measure calculation</t>
  </si>
  <si>
    <t>Coding errors could produce incorrect delinquency or default outcomes.</t>
  </si>
  <si>
    <t>Ensure loan-level outcomes agree with the underlying monthly performance records.</t>
  </si>
  <si>
    <t>An independent recalculation and targeted sample review validates derived 90-plus-day delinquency flags.</t>
  </si>
  <si>
    <t>Detective / Hybrid</t>
  </si>
  <si>
    <t>Per methodology change</t>
  </si>
  <si>
    <t>Recalculate outcomes independently for selected loans and reconcile event dates and statuses to the production logic.</t>
  </si>
  <si>
    <t>EIT-14</t>
  </si>
  <si>
    <t>Model development</t>
  </si>
  <si>
    <t>Future performance information could leak into model predictors and overstate model effectiveness.</t>
  </si>
  <si>
    <t>Separate predictor observation dates from outcome periods and prohibit post-origination predictors in the baseline PD model.</t>
  </si>
  <si>
    <t>A documented feature review and time-based train-test split prevent future-information leakage.</t>
  </si>
  <si>
    <t>Preventive / Manual</t>
  </si>
  <si>
    <t>Per model version</t>
  </si>
  <si>
    <t>Review every predictor's availability date and validate the 2015–2016 training and 2017 testing design.</t>
  </si>
  <si>
    <t>EIT-15</t>
  </si>
  <si>
    <t>Reporting and monitoring</t>
  </si>
  <si>
    <t>Dashboards or reports could disagree with validated analytical populations and calculations.</t>
  </si>
  <si>
    <t>Reconcile reported totals and risk indicators to approved processed data and independent calculations.</t>
  </si>
  <si>
    <t>Reporting outputs are tied to controlled summary tables and checked against source-population totals.</t>
  </si>
  <si>
    <t>Per reporting cycle</t>
  </si>
  <si>
    <t>Reperform key totals, compare report and source populations, and document differences and remediation.</t>
  </si>
  <si>
    <t>EIT Testing Summary</t>
  </si>
  <si>
    <t>Progress and priorities derived from the Risk-Control Matrix</t>
  </si>
  <si>
    <t>Testing Progress</t>
  </si>
  <si>
    <t>Risk Priorities</t>
  </si>
  <si>
    <t>Total tests</t>
  </si>
  <si>
    <t>Partially complete</t>
  </si>
  <si>
    <t>Low</t>
  </si>
  <si>
    <t>Not started</t>
  </si>
  <si>
    <t>Completion rate</t>
  </si>
  <si>
    <t>Current Assessment</t>
  </si>
  <si>
    <t>The completed origination audit provides evidence of data completeness, identifier integrity, missing-value treatment, range and category validation, and documented exception review. The strongest remaining gap is control testing over the full monthly performance population and the derived delinquency outcomes.</t>
  </si>
  <si>
    <t>Next Testing Phase</t>
  </si>
  <si>
    <t>Create 02_performance_audit.ipynb and process one vintage at a time in memory-safe chunks. Confirm the performance schema, population completeness, duplicate loan-month records, reporting periods, loan ages, delinquency statuses, follow-up coverage, and full-population referential integrity before constructing 24- and 36-month outcomes.</t>
  </si>
  <si>
    <t>Definitions and Scope Notes</t>
  </si>
  <si>
    <t>Category</t>
  </si>
  <si>
    <t>Term</t>
  </si>
  <si>
    <t>Definition</t>
  </si>
  <si>
    <t>Application in this case study</t>
  </si>
  <si>
    <t>Scope</t>
  </si>
  <si>
    <t>Simulated EIT case study</t>
  </si>
  <si>
    <t>A portfolio exercise that applies independent-testing concepts to a hypothetical mortgage data process.</t>
  </si>
  <si>
    <t>Does not represent an assessment of Freddie Mac's internal controls.</t>
  </si>
  <si>
    <t>The planned procedure has been executed and evidence supports a preliminary conclusion.</t>
  </si>
  <si>
    <t>Six origination-data tests currently meet this definition.</t>
  </si>
  <si>
    <t>Some testing has been performed, but the intended population or control scope is not yet fully covered.</t>
  </si>
  <si>
    <t>Used for schema and referential-integrity testing pending full performance-file work.</t>
  </si>
  <si>
    <t>The procedure is designed but has not yet been executed.</t>
  </si>
  <si>
    <t>Primarily applies to monthly performance, outcome, model, and reporting tests.</t>
  </si>
  <si>
    <t>Preventive</t>
  </si>
  <si>
    <t>Designed to stop invalid or unauthorized processing before it affects downstream outputs.</t>
  </si>
  <si>
    <t>Examples include schema gates and approved feature-date reviews.</t>
  </si>
  <si>
    <t>Detective</t>
  </si>
  <si>
    <t>Designed to identify errors or exceptions after data is received or processed.</t>
  </si>
  <si>
    <t>Examples include reconciliations, duplicate checks, and exception reviews.</t>
  </si>
  <si>
    <t>Execution</t>
  </si>
  <si>
    <t>Automated</t>
  </si>
  <si>
    <t>Performed consistently through programmed rules or scripts.</t>
  </si>
  <si>
    <t>Most population-level data tests are automated in Python.</t>
  </si>
  <si>
    <t>Manual</t>
  </si>
  <si>
    <t>Requires human judgment, review, or documented disposition.</t>
  </si>
  <si>
    <t>Used for exception investigation and methodology review.</t>
  </si>
  <si>
    <t>Hybrid</t>
  </si>
  <si>
    <t>Combines automated calculations with manual review or approval.</t>
  </si>
  <si>
    <t>Used for outcome validation and reporting reconciliation.</t>
  </si>
  <si>
    <t>Evidence</t>
  </si>
  <si>
    <t>01_data_audit.ipynb</t>
  </si>
  <si>
    <t>Completed origination audit through export and reload validation.</t>
  </si>
  <si>
    <t>Primary evidence for EIT-01 through EIT-08.</t>
  </si>
  <si>
    <t>02_performance_audit.ipynb</t>
  </si>
  <si>
    <t>Planned memory-safe audit of monthly performance files.</t>
  </si>
  <si>
    <t>Will support EIT-01, EIT-04, and EIT-09 through EIT-12.</t>
  </si>
  <si>
    <t>Data constraint</t>
  </si>
  <si>
    <t>8 GB RAM</t>
  </si>
  <si>
    <t>The computer cannot safely load every monthly performance file simultaneously.</t>
  </si>
  <si>
    <t>Process one vintage at a time, read chunks, retain needed columns, and save compact outputs.</t>
  </si>
  <si>
    <t>01_data_audit.ipynb — official origination schema; 02_performance_audit.ipynb — 35-field performance schema verified for all four vintages</t>
  </si>
  <si>
    <t>Pass — origination and monthly performance file structures matched the approved schemas for all four vintages.</t>
  </si>
  <si>
    <t>02_performance_audit.ipynb — full-population identifier reconciliation; 04_performance_testing_workpaper.md</t>
  </si>
  <si>
    <t>Pass — all 12,850,534 performance records and 200,000 vintage-level loan IDs matched the origination population. No unmatched identifiers were identified.</t>
  </si>
  <si>
    <t>02_performance_audit.ipynb — duplicate loan-month and sorting tests; 04_performance_testing_workpaper.md</t>
  </si>
  <si>
    <t>Pass — no duplicate loan-month combinations were identified across 12,850,534 performance records.</t>
  </si>
  <si>
    <t>02_performance_audit.ipynb — chronology, loan-age, and maturity reconciliation; 04_performance_testing_workpaper.md; exception log E-01 and L-02</t>
  </si>
  <si>
    <t>Pass with isolated low-severity exception — no sorting violations were identified. One loan contained 37 remaining-maturity discrepancies, and one modified record could not be independently recalculated.</t>
  </si>
  <si>
    <t>02_performance_audit.ipynb — delinquency-status and performance-value validation; 04_performance_testing_workpaper.md</t>
  </si>
  <si>
    <t>Pass — no invalid delinquency statuses, modification flags, zero-balance codes, tested date formats, or Current Actual UPB values were identified.</t>
  </si>
  <si>
    <t>03_outcome_construction.ipynb — full-population outcome eligibility and censoring tests; 05_outcome_testing_workpaper.md</t>
  </si>
  <si>
    <t>Pass — 12-, 24-, and 36-month outcome windows were constructed for 200,000 loans. Eligibility and censoring classifications reconciled without exception.</t>
  </si>
  <si>
    <t>03_outcome_construction.ipynb — independent 120-loan outcome recalculation; 05_outcome_testing_workpaper.md</t>
  </si>
  <si>
    <t>Pass — 120 stratified sample loans and 6,791 raw performance records were independently recalculated. All outcomes, observation windows, eligibility classifications, and censoring classifications matched.</t>
  </si>
  <si>
    <t>04_feature_engineering.ipynb — time-based split, feature manifest, stability and leakage controls; 05_pd_modeling.ipynb — fitted pipeline, artifact reload, independent scoring and coefficient review; 06_feature_leakage_workpaper.md; 07_pd_model_testing_workpaper.md</t>
  </si>
  <si>
    <t>Pass — Predictor timing, feature exclusions, time-based population separation, categorical stability, and prohibited-predictor controls were validated. The fitted pipeline was independently reloaded and scored successfully. No unknown categories affected the primary 2017 test. The 2006 channel limitation is documented separately as L-03.</t>
  </si>
  <si>
    <t>05_pd_modeling.ipynb — model artifact reload, prediction reconciliation, performance summary and decile testing; model_performance_summary.csv; model_decile_analysis.csv; pd_predictions.parquet; 07_pd_model_testing_workpaper.md</t>
  </si>
  <si>
    <t>Pass — Reported populations and performance measures were independently reproduced from the saved model and processed data. All 162,006 eligible prediction rows reconciled to unique loan identifiers, with zero missing probabilities. Development, 2017 test, and 2006 historical metrics agreed with the documented reporting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</si>
</sst>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6"/>
      <color rgb="FFFFFFFF"/>
      <name val="Carlito"/>
    </font>
    <font>
      <i/>
      <sz val="11"/>
      <color rgb="FF44546A"/>
      <name val="Carlito"/>
    </font>
    <font>
      <sz val="10"/>
      <color rgb="FF595959"/>
      <name val="Carlito"/>
    </font>
    <font>
      <sz val="10"/>
      <color rgb="FF222222"/>
      <name val="Aptos"/>
    </font>
    <font>
      <b/>
      <sz val="10"/>
      <color rgb="FFFFFFFF"/>
      <name val="Aptos"/>
    </font>
    <font>
      <b/>
      <sz val="11"/>
      <color rgb="FF222222"/>
      <name val="Aptos"/>
    </font>
    <font>
      <i/>
      <sz val="11"/>
      <color rgb="FF222222"/>
      <name val="Aptos"/>
    </font>
    <font>
      <sz val="11"/>
      <color rgb="FF222222"/>
      <name val="Aptos"/>
    </font>
    <font>
      <b/>
      <sz val="16"/>
      <color rgb="FFFFFFFF"/>
      <name val="Aptos Display"/>
    </font>
    <font>
      <b/>
      <sz val="11"/>
      <color rgb="FFFFFFFF"/>
      <name val="Aptos"/>
    </font>
    <font>
      <sz val="10"/>
      <name val="Aptos"/>
    </font>
    <font>
      <b/>
      <sz val="10"/>
      <color rgb="FF2F5597"/>
      <name val="Aptos"/>
    </font>
  </fonts>
  <fills count="7">
    <fill>
      <patternFill patternType="none"/>
    </fill>
    <fill>
      <patternFill patternType="gray125"/>
    </fill>
    <fill>
      <patternFill patternType="solid">
        <fgColor rgb="FF17365D"/>
      </patternFill>
    </fill>
    <fill>
      <patternFill patternType="solid">
        <fgColor rgb="FFEDF4FA"/>
      </patternFill>
    </fill>
    <fill>
      <patternFill patternType="solid">
        <fgColor rgb="FFF2F2F2"/>
      </patternFill>
    </fill>
    <fill>
      <patternFill patternType="solid">
        <fgColor rgb="FFF7FBFF"/>
      </patternFill>
    </fill>
    <fill>
      <patternFill patternType="solid">
        <fgColor rgb="FFFFF9E6"/>
      </patternFill>
    </fill>
  </fills>
  <borders count="28">
    <border>
      <left/>
      <right/>
      <top/>
      <bottom/>
      <diagonal/>
    </border>
    <border>
      <left style="thin">
        <color rgb="FFC9C9C9"/>
      </left>
      <right/>
      <top style="thin">
        <color rgb="FFC9C9C9"/>
      </top>
      <bottom/>
      <diagonal/>
    </border>
    <border>
      <left/>
      <right/>
      <top style="thin">
        <color rgb="FFC9C9C9"/>
      </top>
      <bottom/>
      <diagonal/>
    </border>
    <border>
      <left/>
      <right style="thin">
        <color rgb="FFC9C9C9"/>
      </right>
      <top style="thin">
        <color rgb="FFC9C9C9"/>
      </top>
      <bottom/>
      <diagonal/>
    </border>
    <border>
      <left style="thin">
        <color rgb="FFC9C9C9"/>
      </left>
      <right/>
      <top/>
      <bottom style="thin">
        <color rgb="FFC9C9C9"/>
      </bottom>
      <diagonal/>
    </border>
    <border>
      <left/>
      <right/>
      <top/>
      <bottom style="thin">
        <color rgb="FFC9C9C9"/>
      </bottom>
      <diagonal/>
    </border>
    <border>
      <left/>
      <right style="thin">
        <color rgb="FFC9C9C9"/>
      </right>
      <top/>
      <bottom style="thin">
        <color rgb="FFC9C9C9"/>
      </bottom>
      <diagonal/>
    </border>
    <border>
      <left style="thin">
        <color rgb="FFB4C6E7"/>
      </left>
      <right style="thin">
        <color rgb="FFB4C6E7"/>
      </right>
      <top style="thin">
        <color rgb="FFB4C6E7"/>
      </top>
      <bottom style="thin">
        <color rgb="FFB4C6E7"/>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style="thin">
        <color rgb="FFB4C6E7"/>
      </left>
      <right/>
      <top style="thin">
        <color rgb="FFB4C6E7"/>
      </top>
      <bottom/>
      <diagonal/>
    </border>
    <border>
      <left/>
      <right/>
      <top style="thin">
        <color rgb="FFB4C6E7"/>
      </top>
      <bottom/>
      <diagonal/>
    </border>
    <border>
      <left/>
      <right style="thin">
        <color rgb="FFB4C6E7"/>
      </right>
      <top style="thin">
        <color rgb="FFB4C6E7"/>
      </top>
      <bottom/>
      <diagonal/>
    </border>
    <border>
      <left style="thin">
        <color rgb="FFB4C6E7"/>
      </left>
      <right/>
      <top/>
      <bottom/>
      <diagonal/>
    </border>
    <border>
      <left/>
      <right style="thin">
        <color rgb="FFB4C6E7"/>
      </right>
      <top/>
      <bottom/>
      <diagonal/>
    </border>
    <border>
      <left style="thin">
        <color rgb="FFB4C6E7"/>
      </left>
      <right/>
      <top/>
      <bottom style="thin">
        <color rgb="FFB4C6E7"/>
      </bottom>
      <diagonal/>
    </border>
    <border>
      <left/>
      <right/>
      <top/>
      <bottom style="thin">
        <color rgb="FFB4C6E7"/>
      </bottom>
      <diagonal/>
    </border>
    <border>
      <left/>
      <right style="thin">
        <color rgb="FFB4C6E7"/>
      </right>
      <top/>
      <bottom style="thin">
        <color rgb="FFB4C6E7"/>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right/>
      <top style="thin">
        <color rgb="FFD9E2F3"/>
      </top>
      <bottom/>
      <diagonal/>
    </border>
  </borders>
  <cellStyleXfs count="1">
    <xf numFmtId="0" fontId="0" fillId="0" borderId="0"/>
  </cellStyleXfs>
  <cellXfs count="53">
    <xf numFmtId="0" fontId="0" fillId="0" borderId="0" xfId="0"/>
    <xf numFmtId="0" fontId="5" fillId="2" borderId="7" xfId="0" applyFont="1" applyFill="1" applyBorder="1" applyAlignment="1">
      <alignment horizontal="center" vertical="center"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8" xfId="0" applyFont="1" applyBorder="1" applyAlignment="1">
      <alignment horizontal="center"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8" fillId="0" borderId="0" xfId="0" applyFont="1"/>
    <xf numFmtId="0" fontId="8" fillId="3" borderId="7" xfId="0" applyFont="1" applyFill="1" applyBorder="1"/>
    <xf numFmtId="0" fontId="6" fillId="0" borderId="7" xfId="0" applyFont="1" applyBorder="1"/>
    <xf numFmtId="9" fontId="6" fillId="0" borderId="7" xfId="0" applyNumberFormat="1" applyFont="1" applyBorder="1"/>
    <xf numFmtId="0" fontId="5" fillId="2" borderId="0" xfId="0" applyFont="1" applyFill="1" applyAlignment="1">
      <alignment horizontal="center"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27" xfId="0" applyFont="1" applyBorder="1" applyAlignment="1">
      <alignment vertical="top" wrapText="1"/>
    </xf>
    <xf numFmtId="0" fontId="12" fillId="3" borderId="8" xfId="0" applyFont="1" applyFill="1" applyBorder="1" applyAlignment="1">
      <alignment vertical="top" wrapText="1"/>
    </xf>
    <xf numFmtId="0" fontId="12" fillId="0" borderId="8" xfId="0" applyFont="1" applyBorder="1" applyAlignment="1">
      <alignment vertical="top" wrapText="1"/>
    </xf>
    <xf numFmtId="0" fontId="12" fillId="3" borderId="9" xfId="0" applyFont="1" applyFill="1" applyBorder="1" applyAlignment="1">
      <alignment vertical="top" wrapText="1"/>
    </xf>
    <xf numFmtId="0" fontId="12" fillId="0" borderId="9" xfId="0" applyFont="1" applyBorder="1" applyAlignment="1">
      <alignment vertical="top" wrapText="1"/>
    </xf>
    <xf numFmtId="0" fontId="12" fillId="3" borderId="27" xfId="0" applyFont="1" applyFill="1" applyBorder="1" applyAlignment="1">
      <alignment vertical="top" wrapText="1"/>
    </xf>
    <xf numFmtId="0" fontId="12" fillId="0" borderId="27" xfId="0" applyFont="1" applyBorder="1" applyAlignment="1">
      <alignment vertical="top" wrapText="1"/>
    </xf>
    <xf numFmtId="0" fontId="8" fillId="5" borderId="11" xfId="0" applyFont="1" applyFill="1" applyBorder="1" applyAlignment="1">
      <alignment vertical="center" wrapText="1"/>
    </xf>
    <xf numFmtId="0" fontId="8" fillId="5" borderId="12" xfId="0" applyFont="1" applyFill="1" applyBorder="1" applyAlignment="1">
      <alignment vertical="center" wrapText="1"/>
    </xf>
    <xf numFmtId="0" fontId="8" fillId="5" borderId="13" xfId="0" applyFont="1" applyFill="1" applyBorder="1" applyAlignment="1">
      <alignment vertical="center" wrapText="1"/>
    </xf>
    <xf numFmtId="0" fontId="8" fillId="5" borderId="14" xfId="0" applyFont="1" applyFill="1" applyBorder="1" applyAlignment="1">
      <alignment vertical="center" wrapText="1"/>
    </xf>
    <xf numFmtId="0" fontId="8" fillId="5" borderId="0" xfId="0" applyFont="1" applyFill="1" applyAlignment="1">
      <alignment vertical="center" wrapText="1"/>
    </xf>
    <xf numFmtId="0" fontId="8" fillId="5" borderId="15"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8" fillId="5" borderId="18" xfId="0" applyFont="1" applyFill="1" applyBorder="1" applyAlignment="1">
      <alignment vertical="center" wrapText="1"/>
    </xf>
    <xf numFmtId="0" fontId="10" fillId="2" borderId="0" xfId="0" applyFont="1" applyFill="1"/>
    <xf numFmtId="0" fontId="8" fillId="6" borderId="19" xfId="0" applyFont="1" applyFill="1" applyBorder="1" applyAlignment="1">
      <alignment vertical="center" wrapText="1"/>
    </xf>
    <xf numFmtId="0" fontId="8" fillId="6" borderId="20" xfId="0" applyFont="1" applyFill="1" applyBorder="1" applyAlignment="1">
      <alignment vertical="center" wrapText="1"/>
    </xf>
    <xf numFmtId="0" fontId="8" fillId="6" borderId="21" xfId="0" applyFont="1" applyFill="1" applyBorder="1" applyAlignment="1">
      <alignment vertical="center" wrapText="1"/>
    </xf>
    <xf numFmtId="0" fontId="8" fillId="6" borderId="22" xfId="0" applyFont="1" applyFill="1" applyBorder="1" applyAlignment="1">
      <alignment vertical="center" wrapText="1"/>
    </xf>
    <xf numFmtId="0" fontId="8" fillId="6" borderId="0" xfId="0" applyFont="1" applyFill="1" applyAlignment="1">
      <alignment vertical="center" wrapText="1"/>
    </xf>
    <xf numFmtId="0" fontId="8" fillId="6" borderId="23" xfId="0" applyFont="1" applyFill="1" applyBorder="1" applyAlignment="1">
      <alignment vertical="center" wrapText="1"/>
    </xf>
    <xf numFmtId="0" fontId="8" fillId="6" borderId="24" xfId="0" applyFont="1" applyFill="1" applyBorder="1" applyAlignment="1">
      <alignment vertical="center" wrapText="1"/>
    </xf>
    <xf numFmtId="0" fontId="8" fillId="6" borderId="25" xfId="0" applyFont="1" applyFill="1" applyBorder="1" applyAlignment="1">
      <alignment vertical="center" wrapText="1"/>
    </xf>
    <xf numFmtId="0" fontId="8" fillId="6" borderId="26" xfId="0" applyFont="1" applyFill="1" applyBorder="1" applyAlignment="1">
      <alignment vertical="center" wrapText="1"/>
    </xf>
    <xf numFmtId="0" fontId="9" fillId="2" borderId="0" xfId="0" applyFont="1" applyFill="1" applyAlignment="1">
      <alignment vertical="center"/>
    </xf>
    <xf numFmtId="0" fontId="7" fillId="3" borderId="0" xfId="0" applyFont="1" applyFill="1"/>
    <xf numFmtId="0" fontId="10" fillId="2" borderId="0" xfId="0" applyFont="1" applyFill="1" applyAlignment="1">
      <alignment horizontal="center"/>
    </xf>
    <xf numFmtId="0" fontId="1" fillId="2" borderId="0" xfId="0" applyFont="1" applyFill="1" applyAlignment="1">
      <alignment horizontal="left" vertical="center"/>
    </xf>
    <xf numFmtId="0" fontId="2" fillId="3" borderId="0" xfId="0" applyFont="1" applyFill="1" applyAlignment="1">
      <alignment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1" fillId="2" borderId="0" xfId="0" applyFont="1" applyFill="1"/>
  </cellXfs>
  <cellStyles count="1">
    <cellStyle name="Normal" xfId="0" builtinId="0"/>
  </cellStyles>
  <dxfs count="5">
    <dxf>
      <font>
        <color rgb="FF595959"/>
      </font>
      <fill>
        <patternFill patternType="solid">
          <bgColor rgb="FFE7E6E6"/>
        </patternFill>
      </fill>
    </dxf>
    <dxf>
      <font>
        <b/>
        <color rgb="FF7F6000"/>
      </font>
      <fill>
        <patternFill patternType="solid">
          <bgColor rgb="FFFFF2CC"/>
        </patternFill>
      </fill>
    </dxf>
    <dxf>
      <font>
        <b/>
        <color rgb="FF375623"/>
      </font>
      <fill>
        <patternFill patternType="solid">
          <bgColor rgb="FFE2F0D9"/>
        </patternFill>
      </fill>
    </dxf>
    <dxf>
      <font>
        <color rgb="FF7F6000"/>
      </font>
      <fill>
        <patternFill patternType="solid">
          <bgColor rgb="FFFFF2CC"/>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ControlMatrixTable" displayName="RiskControlMatrixTable" ref="A6:L21" totalsRowShown="0">
  <tableColumns count="12">
    <tableColumn id="1" xr3:uid="{00000000-0010-0000-0000-000001000000}" name="Test ID"/>
    <tableColumn id="2" xr3:uid="{00000000-0010-0000-0000-000002000000}" name="Priority"/>
    <tableColumn id="3" xr3:uid="{00000000-0010-0000-0000-000003000000}" name="Process Stage"/>
    <tableColumn id="4" xr3:uid="{00000000-0010-0000-0000-000004000000}" name="Risk Statement"/>
    <tableColumn id="5" xr3:uid="{00000000-0010-0000-0000-000005000000}" name="Control Objective"/>
    <tableColumn id="6" xr3:uid="{00000000-0010-0000-0000-000006000000}" name="Illustrative Control"/>
    <tableColumn id="7" xr3:uid="{00000000-0010-0000-0000-000007000000}" name="Classification"/>
    <tableColumn id="8" xr3:uid="{00000000-0010-0000-0000-000008000000}" name="Frequency"/>
    <tableColumn id="9" xr3:uid="{00000000-0010-0000-0000-000009000000}" name="EIT Testing Procedure"/>
    <tableColumn id="10" xr3:uid="{00000000-0010-0000-0000-00000A000000}" name="Evidence / Workpaper Reference"/>
    <tableColumn id="11" xr3:uid="{00000000-0010-0000-0000-00000B000000}" name="Status"/>
    <tableColumn id="12" xr3:uid="{00000000-0010-0000-0000-00000C000000}" name="Preliminary Conclusion / Next Ste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initionsTable" displayName="DefinitionsTable" ref="A3:D15" totalsRowShown="0">
  <tableColumns count="4">
    <tableColumn id="1" xr3:uid="{00000000-0010-0000-0100-000001000000}" name="Category"/>
    <tableColumn id="2" xr3:uid="{00000000-0010-0000-0100-000002000000}" name="Term"/>
    <tableColumn id="3" xr3:uid="{00000000-0010-0000-0100-000003000000}" name="Definition"/>
    <tableColumn id="4" xr3:uid="{00000000-0010-0000-0100-000004000000}" name="Application in this case stud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tabSelected="1" topLeftCell="I19" workbookViewId="0">
      <selection activeCell="L22" sqref="L22"/>
    </sheetView>
  </sheetViews>
  <sheetFormatPr defaultRowHeight="13.8"/>
  <cols>
    <col min="1" max="1" width="11" customWidth="1"/>
    <col min="2" max="2" width="10" customWidth="1"/>
    <col min="3" max="3" width="23" customWidth="1"/>
    <col min="4" max="4" width="38" customWidth="1"/>
    <col min="5" max="5" width="36" customWidth="1"/>
    <col min="6" max="6" width="42" customWidth="1"/>
    <col min="7" max="7" width="22" customWidth="1"/>
    <col min="8" max="8" width="18" customWidth="1"/>
    <col min="9" max="9" width="46" customWidth="1"/>
    <col min="10" max="10" width="40" customWidth="1"/>
    <col min="11" max="11" width="19" customWidth="1"/>
    <col min="12" max="12" width="44" customWidth="1"/>
  </cols>
  <sheetData>
    <row r="1" spans="1:12" ht="30" customHeight="1">
      <c r="A1" s="44" t="s">
        <v>0</v>
      </c>
      <c r="B1" s="44"/>
      <c r="C1" s="44"/>
      <c r="D1" s="44"/>
      <c r="E1" s="44"/>
      <c r="F1" s="44"/>
      <c r="G1" s="44"/>
      <c r="H1" s="44"/>
      <c r="I1" s="44"/>
      <c r="J1" s="44"/>
      <c r="K1" s="44"/>
      <c r="L1" s="44"/>
    </row>
    <row r="2" spans="1:12" ht="24" customHeight="1">
      <c r="A2" s="45" t="s">
        <v>1</v>
      </c>
      <c r="B2" s="45"/>
      <c r="C2" s="45"/>
      <c r="D2" s="45"/>
      <c r="E2" s="45"/>
      <c r="F2" s="45"/>
      <c r="G2" s="45"/>
      <c r="H2" s="45"/>
      <c r="I2" s="45"/>
      <c r="J2" s="45"/>
      <c r="K2" s="45"/>
      <c r="L2" s="45"/>
    </row>
    <row r="3" spans="1:12">
      <c r="A3" s="46" t="s">
        <v>2</v>
      </c>
      <c r="B3" s="47"/>
      <c r="C3" s="47"/>
      <c r="D3" s="47"/>
      <c r="E3" s="47"/>
      <c r="F3" s="47"/>
      <c r="G3" s="47"/>
      <c r="H3" s="47"/>
      <c r="I3" s="47"/>
      <c r="J3" s="47"/>
      <c r="K3" s="47"/>
      <c r="L3" s="48"/>
    </row>
    <row r="4" spans="1:12">
      <c r="A4" s="49"/>
      <c r="B4" s="50"/>
      <c r="C4" s="50"/>
      <c r="D4" s="50"/>
      <c r="E4" s="50"/>
      <c r="F4" s="50"/>
      <c r="G4" s="50"/>
      <c r="H4" s="50"/>
      <c r="I4" s="50"/>
      <c r="J4" s="50"/>
      <c r="K4" s="50"/>
      <c r="L4" s="51"/>
    </row>
    <row r="6" spans="1:12" ht="42" customHeight="1">
      <c r="A6" s="1" t="s">
        <v>3</v>
      </c>
      <c r="B6" s="1" t="s">
        <v>4</v>
      </c>
      <c r="C6" s="1" t="s">
        <v>5</v>
      </c>
      <c r="D6" s="1" t="s">
        <v>6</v>
      </c>
      <c r="E6" s="1" t="s">
        <v>7</v>
      </c>
      <c r="F6" s="1" t="s">
        <v>8</v>
      </c>
      <c r="G6" s="1" t="s">
        <v>9</v>
      </c>
      <c r="H6" s="1" t="s">
        <v>10</v>
      </c>
      <c r="I6" s="1" t="s">
        <v>11</v>
      </c>
      <c r="J6" s="1" t="s">
        <v>12</v>
      </c>
      <c r="K6" s="1" t="s">
        <v>13</v>
      </c>
      <c r="L6" s="1" t="s">
        <v>14</v>
      </c>
    </row>
    <row r="7" spans="1:12" ht="94.05" customHeight="1">
      <c r="A7" s="5" t="s">
        <v>15</v>
      </c>
      <c r="B7" s="5" t="s">
        <v>16</v>
      </c>
      <c r="C7" s="2" t="s">
        <v>17</v>
      </c>
      <c r="D7" s="2" t="s">
        <v>18</v>
      </c>
      <c r="E7" s="2" t="s">
        <v>19</v>
      </c>
      <c r="F7" s="2" t="s">
        <v>20</v>
      </c>
      <c r="G7" s="5" t="s">
        <v>21</v>
      </c>
      <c r="H7" s="5" t="s">
        <v>22</v>
      </c>
      <c r="I7" s="2" t="s">
        <v>23</v>
      </c>
      <c r="J7" s="2" t="s">
        <v>186</v>
      </c>
      <c r="K7" s="5" t="s">
        <v>34</v>
      </c>
      <c r="L7" s="2" t="s">
        <v>187</v>
      </c>
    </row>
    <row r="8" spans="1:12" ht="94.05" customHeight="1">
      <c r="A8" s="6" t="s">
        <v>25</v>
      </c>
      <c r="B8" s="6" t="s">
        <v>16</v>
      </c>
      <c r="C8" s="3" t="s">
        <v>26</v>
      </c>
      <c r="D8" s="3" t="s">
        <v>27</v>
      </c>
      <c r="E8" s="3" t="s">
        <v>28</v>
      </c>
      <c r="F8" s="3" t="s">
        <v>29</v>
      </c>
      <c r="G8" s="6" t="s">
        <v>30</v>
      </c>
      <c r="H8" s="6" t="s">
        <v>31</v>
      </c>
      <c r="I8" s="3" t="s">
        <v>32</v>
      </c>
      <c r="J8" s="3" t="s">
        <v>33</v>
      </c>
      <c r="K8" s="6" t="s">
        <v>34</v>
      </c>
      <c r="L8" s="3" t="s">
        <v>35</v>
      </c>
    </row>
    <row r="9" spans="1:12" ht="94.05" customHeight="1">
      <c r="A9" s="6" t="s">
        <v>36</v>
      </c>
      <c r="B9" s="6" t="s">
        <v>16</v>
      </c>
      <c r="C9" s="3" t="s">
        <v>37</v>
      </c>
      <c r="D9" s="3" t="s">
        <v>38</v>
      </c>
      <c r="E9" s="3" t="s">
        <v>39</v>
      </c>
      <c r="F9" s="3" t="s">
        <v>40</v>
      </c>
      <c r="G9" s="6" t="s">
        <v>21</v>
      </c>
      <c r="H9" s="6" t="s">
        <v>31</v>
      </c>
      <c r="I9" s="3" t="s">
        <v>41</v>
      </c>
      <c r="J9" s="3" t="s">
        <v>42</v>
      </c>
      <c r="K9" s="6" t="s">
        <v>34</v>
      </c>
      <c r="L9" s="3" t="s">
        <v>43</v>
      </c>
    </row>
    <row r="10" spans="1:12" ht="94.05" customHeight="1">
      <c r="A10" s="6" t="s">
        <v>44</v>
      </c>
      <c r="B10" s="6" t="s">
        <v>16</v>
      </c>
      <c r="C10" s="3" t="s">
        <v>45</v>
      </c>
      <c r="D10" s="3" t="s">
        <v>46</v>
      </c>
      <c r="E10" s="3" t="s">
        <v>47</v>
      </c>
      <c r="F10" s="3" t="s">
        <v>48</v>
      </c>
      <c r="G10" s="6" t="s">
        <v>30</v>
      </c>
      <c r="H10" s="6" t="s">
        <v>49</v>
      </c>
      <c r="I10" s="3" t="s">
        <v>50</v>
      </c>
      <c r="J10" s="3" t="s">
        <v>188</v>
      </c>
      <c r="K10" s="6" t="s">
        <v>34</v>
      </c>
      <c r="L10" s="3" t="s">
        <v>189</v>
      </c>
    </row>
    <row r="11" spans="1:12" ht="94.05" customHeight="1">
      <c r="A11" s="6" t="s">
        <v>51</v>
      </c>
      <c r="B11" s="6" t="s">
        <v>52</v>
      </c>
      <c r="C11" s="3" t="s">
        <v>53</v>
      </c>
      <c r="D11" s="3" t="s">
        <v>54</v>
      </c>
      <c r="E11" s="3" t="s">
        <v>55</v>
      </c>
      <c r="F11" s="3" t="s">
        <v>56</v>
      </c>
      <c r="G11" s="6" t="s">
        <v>21</v>
      </c>
      <c r="H11" s="6" t="s">
        <v>31</v>
      </c>
      <c r="I11" s="3" t="s">
        <v>57</v>
      </c>
      <c r="J11" s="3" t="s">
        <v>58</v>
      </c>
      <c r="K11" s="6" t="s">
        <v>34</v>
      </c>
      <c r="L11" s="3" t="s">
        <v>59</v>
      </c>
    </row>
    <row r="12" spans="1:12" ht="94.05" customHeight="1">
      <c r="A12" s="6" t="s">
        <v>60</v>
      </c>
      <c r="B12" s="6" t="s">
        <v>52</v>
      </c>
      <c r="C12" s="3" t="s">
        <v>53</v>
      </c>
      <c r="D12" s="3" t="s">
        <v>61</v>
      </c>
      <c r="E12" s="3" t="s">
        <v>62</v>
      </c>
      <c r="F12" s="3" t="s">
        <v>63</v>
      </c>
      <c r="G12" s="6" t="s">
        <v>21</v>
      </c>
      <c r="H12" s="6" t="s">
        <v>31</v>
      </c>
      <c r="I12" s="3" t="s">
        <v>64</v>
      </c>
      <c r="J12" s="3" t="s">
        <v>65</v>
      </c>
      <c r="K12" s="6" t="s">
        <v>34</v>
      </c>
      <c r="L12" s="3" t="s">
        <v>66</v>
      </c>
    </row>
    <row r="13" spans="1:12" ht="94.05" customHeight="1">
      <c r="A13" s="6" t="s">
        <v>67</v>
      </c>
      <c r="B13" s="6" t="s">
        <v>52</v>
      </c>
      <c r="C13" s="3" t="s">
        <v>37</v>
      </c>
      <c r="D13" s="3" t="s">
        <v>68</v>
      </c>
      <c r="E13" s="3" t="s">
        <v>69</v>
      </c>
      <c r="F13" s="3" t="s">
        <v>70</v>
      </c>
      <c r="G13" s="6" t="s">
        <v>30</v>
      </c>
      <c r="H13" s="6" t="s">
        <v>31</v>
      </c>
      <c r="I13" s="3" t="s">
        <v>71</v>
      </c>
      <c r="J13" s="3" t="s">
        <v>72</v>
      </c>
      <c r="K13" s="6" t="s">
        <v>34</v>
      </c>
      <c r="L13" s="3" t="s">
        <v>73</v>
      </c>
    </row>
    <row r="14" spans="1:12" ht="94.05" customHeight="1">
      <c r="A14" s="6" t="s">
        <v>74</v>
      </c>
      <c r="B14" s="6" t="s">
        <v>52</v>
      </c>
      <c r="C14" s="3" t="s">
        <v>75</v>
      </c>
      <c r="D14" s="3" t="s">
        <v>76</v>
      </c>
      <c r="E14" s="3" t="s">
        <v>77</v>
      </c>
      <c r="F14" s="3" t="s">
        <v>78</v>
      </c>
      <c r="G14" s="6" t="s">
        <v>79</v>
      </c>
      <c r="H14" s="6" t="s">
        <v>80</v>
      </c>
      <c r="I14" s="3" t="s">
        <v>81</v>
      </c>
      <c r="J14" s="3" t="s">
        <v>82</v>
      </c>
      <c r="K14" s="6" t="s">
        <v>34</v>
      </c>
      <c r="L14" s="3" t="s">
        <v>83</v>
      </c>
    </row>
    <row r="15" spans="1:12" ht="94.05" customHeight="1">
      <c r="A15" s="6" t="s">
        <v>84</v>
      </c>
      <c r="B15" s="6" t="s">
        <v>16</v>
      </c>
      <c r="C15" s="3" t="s">
        <v>85</v>
      </c>
      <c r="D15" s="3" t="s">
        <v>86</v>
      </c>
      <c r="E15" s="3" t="s">
        <v>87</v>
      </c>
      <c r="F15" s="3" t="s">
        <v>88</v>
      </c>
      <c r="G15" s="6" t="s">
        <v>30</v>
      </c>
      <c r="H15" s="6" t="s">
        <v>49</v>
      </c>
      <c r="I15" s="3" t="s">
        <v>89</v>
      </c>
      <c r="J15" s="3" t="s">
        <v>190</v>
      </c>
      <c r="K15" s="6" t="s">
        <v>34</v>
      </c>
      <c r="L15" s="3" t="s">
        <v>191</v>
      </c>
    </row>
    <row r="16" spans="1:12" ht="94.05" customHeight="1">
      <c r="A16" s="6" t="s">
        <v>91</v>
      </c>
      <c r="B16" s="6" t="s">
        <v>52</v>
      </c>
      <c r="C16" s="3" t="s">
        <v>85</v>
      </c>
      <c r="D16" s="3" t="s">
        <v>92</v>
      </c>
      <c r="E16" s="3" t="s">
        <v>93</v>
      </c>
      <c r="F16" s="3" t="s">
        <v>94</v>
      </c>
      <c r="G16" s="6" t="s">
        <v>30</v>
      </c>
      <c r="H16" s="6" t="s">
        <v>49</v>
      </c>
      <c r="I16" s="3" t="s">
        <v>95</v>
      </c>
      <c r="J16" s="3" t="s">
        <v>192</v>
      </c>
      <c r="K16" s="6" t="s">
        <v>34</v>
      </c>
      <c r="L16" s="3" t="s">
        <v>193</v>
      </c>
    </row>
    <row r="17" spans="1:12" ht="94.05" customHeight="1">
      <c r="A17" s="6" t="s">
        <v>96</v>
      </c>
      <c r="B17" s="6" t="s">
        <v>16</v>
      </c>
      <c r="C17" s="3" t="s">
        <v>85</v>
      </c>
      <c r="D17" s="3" t="s">
        <v>97</v>
      </c>
      <c r="E17" s="3" t="s">
        <v>98</v>
      </c>
      <c r="F17" s="3" t="s">
        <v>99</v>
      </c>
      <c r="G17" s="6" t="s">
        <v>21</v>
      </c>
      <c r="H17" s="6" t="s">
        <v>49</v>
      </c>
      <c r="I17" s="3" t="s">
        <v>100</v>
      </c>
      <c r="J17" s="3" t="s">
        <v>194</v>
      </c>
      <c r="K17" s="6" t="s">
        <v>34</v>
      </c>
      <c r="L17" s="3" t="s">
        <v>195</v>
      </c>
    </row>
    <row r="18" spans="1:12" ht="94.05" customHeight="1">
      <c r="A18" s="6" t="s">
        <v>101</v>
      </c>
      <c r="B18" s="6" t="s">
        <v>16</v>
      </c>
      <c r="C18" s="3" t="s">
        <v>102</v>
      </c>
      <c r="D18" s="3" t="s">
        <v>103</v>
      </c>
      <c r="E18" s="3" t="s">
        <v>104</v>
      </c>
      <c r="F18" s="3" t="s">
        <v>105</v>
      </c>
      <c r="G18" s="6" t="s">
        <v>21</v>
      </c>
      <c r="H18" s="6" t="s">
        <v>106</v>
      </c>
      <c r="I18" s="3" t="s">
        <v>107</v>
      </c>
      <c r="J18" s="3" t="s">
        <v>196</v>
      </c>
      <c r="K18" s="6" t="s">
        <v>34</v>
      </c>
      <c r="L18" s="3" t="s">
        <v>197</v>
      </c>
    </row>
    <row r="19" spans="1:12" ht="94.05" customHeight="1">
      <c r="A19" s="6" t="s">
        <v>108</v>
      </c>
      <c r="B19" s="6" t="s">
        <v>16</v>
      </c>
      <c r="C19" s="3" t="s">
        <v>109</v>
      </c>
      <c r="D19" s="3" t="s">
        <v>110</v>
      </c>
      <c r="E19" s="3" t="s">
        <v>111</v>
      </c>
      <c r="F19" s="3" t="s">
        <v>112</v>
      </c>
      <c r="G19" s="6" t="s">
        <v>113</v>
      </c>
      <c r="H19" s="6" t="s">
        <v>114</v>
      </c>
      <c r="I19" s="3" t="s">
        <v>115</v>
      </c>
      <c r="J19" s="3" t="s">
        <v>198</v>
      </c>
      <c r="K19" s="6" t="s">
        <v>34</v>
      </c>
      <c r="L19" s="3" t="s">
        <v>199</v>
      </c>
    </row>
    <row r="20" spans="1:12" ht="94.05" customHeight="1">
      <c r="A20" s="6" t="s">
        <v>116</v>
      </c>
      <c r="B20" s="6" t="s">
        <v>16</v>
      </c>
      <c r="C20" s="3" t="s">
        <v>117</v>
      </c>
      <c r="D20" s="3" t="s">
        <v>118</v>
      </c>
      <c r="E20" s="3" t="s">
        <v>119</v>
      </c>
      <c r="F20" s="3" t="s">
        <v>120</v>
      </c>
      <c r="G20" s="6" t="s">
        <v>121</v>
      </c>
      <c r="H20" s="6" t="s">
        <v>122</v>
      </c>
      <c r="I20" s="3" t="s">
        <v>123</v>
      </c>
      <c r="J20" s="3" t="s">
        <v>200</v>
      </c>
      <c r="K20" s="6" t="s">
        <v>34</v>
      </c>
      <c r="L20" s="3" t="s">
        <v>201</v>
      </c>
    </row>
    <row r="21" spans="1:12" ht="94.05" customHeight="1">
      <c r="A21" s="7" t="s">
        <v>124</v>
      </c>
      <c r="B21" s="7" t="s">
        <v>16</v>
      </c>
      <c r="C21" s="4" t="s">
        <v>125</v>
      </c>
      <c r="D21" s="4" t="s">
        <v>126</v>
      </c>
      <c r="E21" s="4" t="s">
        <v>127</v>
      </c>
      <c r="F21" s="4" t="s">
        <v>128</v>
      </c>
      <c r="G21" s="7" t="s">
        <v>113</v>
      </c>
      <c r="H21" s="7" t="s">
        <v>129</v>
      </c>
      <c r="I21" s="4" t="s">
        <v>130</v>
      </c>
      <c r="J21" s="4" t="s">
        <v>202</v>
      </c>
      <c r="K21" s="7" t="s">
        <v>34</v>
      </c>
      <c r="L21" s="4" t="s">
        <v>203</v>
      </c>
    </row>
  </sheetData>
  <mergeCells count="3">
    <mergeCell ref="A1:L1"/>
    <mergeCell ref="A2:L2"/>
    <mergeCell ref="A3:L4"/>
  </mergeCells>
  <conditionalFormatting sqref="B7:B21">
    <cfRule type="expression" dxfId="4" priority="1">
      <formula>$B7="High"</formula>
    </cfRule>
    <cfRule type="expression" dxfId="3" priority="2">
      <formula>$B7="Medium"</formula>
    </cfRule>
  </conditionalFormatting>
  <conditionalFormatting sqref="K7:K21">
    <cfRule type="expression" dxfId="2" priority="3">
      <formula>$K7="Complete"</formula>
    </cfRule>
    <cfRule type="expression" dxfId="1" priority="4">
      <formula>$K7="Partially Complete"</formula>
    </cfRule>
    <cfRule type="expression" dxfId="0" priority="5">
      <formula>$K7="Not Started"</formula>
    </cfRule>
  </conditionalFormatting>
  <dataValidations count="2">
    <dataValidation type="list" sqref="B7:B21" xr:uid="{00000000-0002-0000-0000-000000000000}">
      <formula1>"High,Medium,Low"</formula1>
    </dataValidation>
    <dataValidation type="list" sqref="K7:K21" xr:uid="{00000000-0002-0000-0000-000001000000}">
      <formula1>"Complete,Partially Complete,Not Started"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election sqref="A1:H1"/>
    </sheetView>
  </sheetViews>
  <sheetFormatPr defaultRowHeight="13.8"/>
  <cols>
    <col min="1" max="1" width="25" customWidth="1"/>
    <col min="2" max="3" width="16" customWidth="1"/>
    <col min="4" max="4" width="22" customWidth="1"/>
    <col min="5" max="8" width="16" customWidth="1"/>
  </cols>
  <sheetData>
    <row r="1" spans="1:8" ht="30" customHeight="1">
      <c r="A1" s="41" t="s">
        <v>131</v>
      </c>
      <c r="B1" s="41"/>
      <c r="C1" s="41"/>
      <c r="D1" s="41"/>
      <c r="E1" s="41"/>
      <c r="F1" s="41"/>
      <c r="G1" s="41"/>
      <c r="H1" s="41"/>
    </row>
    <row r="2" spans="1:8" ht="14.4">
      <c r="A2" s="42" t="s">
        <v>132</v>
      </c>
      <c r="B2" s="42"/>
      <c r="C2" s="42"/>
      <c r="D2" s="42"/>
      <c r="E2" s="42"/>
      <c r="F2" s="42"/>
      <c r="G2" s="42"/>
      <c r="H2" s="42"/>
    </row>
    <row r="3" spans="1:8" ht="14.4">
      <c r="A3" s="8"/>
      <c r="B3" s="8"/>
      <c r="C3" s="8"/>
      <c r="D3" s="8"/>
      <c r="E3" s="8"/>
      <c r="F3" s="8"/>
      <c r="G3" s="8"/>
      <c r="H3" s="8"/>
    </row>
    <row r="4" spans="1:8" ht="14.4">
      <c r="A4" s="43" t="s">
        <v>133</v>
      </c>
      <c r="B4" s="43"/>
      <c r="C4" s="8"/>
      <c r="D4" s="43" t="s">
        <v>134</v>
      </c>
      <c r="E4" s="43"/>
      <c r="F4" s="8"/>
      <c r="G4" s="8"/>
      <c r="H4" s="8"/>
    </row>
    <row r="5" spans="1:8" ht="14.4">
      <c r="A5" s="9" t="s">
        <v>135</v>
      </c>
      <c r="B5" s="10">
        <f>COUNTA('Risk-Control Matrix'!$A$7:$A$21)</f>
        <v>15</v>
      </c>
      <c r="C5" s="8"/>
      <c r="D5" s="9" t="s">
        <v>16</v>
      </c>
      <c r="E5" s="10">
        <f>COUNTIF('Risk-Control Matrix'!$B$7:$B$21,"High")</f>
        <v>10</v>
      </c>
      <c r="F5" s="8"/>
      <c r="G5" s="8"/>
      <c r="H5" s="8"/>
    </row>
    <row r="6" spans="1:8" ht="14.4">
      <c r="A6" s="9" t="s">
        <v>34</v>
      </c>
      <c r="B6" s="10">
        <f>COUNTIF('Risk-Control Matrix'!$K$7:$K$21,"Complete")</f>
        <v>15</v>
      </c>
      <c r="C6" s="8"/>
      <c r="D6" s="9" t="s">
        <v>52</v>
      </c>
      <c r="E6" s="10">
        <f>COUNTIF('Risk-Control Matrix'!$B$7:$B$21,"Medium")</f>
        <v>5</v>
      </c>
      <c r="F6" s="8"/>
      <c r="G6" s="8"/>
      <c r="H6" s="8"/>
    </row>
    <row r="7" spans="1:8" ht="14.4">
      <c r="A7" s="9" t="s">
        <v>136</v>
      </c>
      <c r="B7" s="10">
        <f>COUNTIF('Risk-Control Matrix'!$K$7:$K$21,"Partially Complete")</f>
        <v>0</v>
      </c>
      <c r="C7" s="8"/>
      <c r="D7" s="9" t="s">
        <v>137</v>
      </c>
      <c r="E7" s="10">
        <f>COUNTIF('Risk-Control Matrix'!$B$7:$B$21,"Low")</f>
        <v>0</v>
      </c>
      <c r="F7" s="8"/>
      <c r="G7" s="8"/>
      <c r="H7" s="8"/>
    </row>
    <row r="8" spans="1:8" ht="14.4">
      <c r="A8" s="9" t="s">
        <v>138</v>
      </c>
      <c r="B8" s="10">
        <f>COUNTIF('Risk-Control Matrix'!$K$7:$K$21,"Not Started")</f>
        <v>0</v>
      </c>
      <c r="C8" s="8"/>
      <c r="D8" s="8"/>
      <c r="E8" s="8"/>
      <c r="F8" s="8"/>
      <c r="G8" s="8"/>
      <c r="H8" s="8"/>
    </row>
    <row r="9" spans="1:8" ht="14.4">
      <c r="A9" s="9" t="s">
        <v>139</v>
      </c>
      <c r="B9" s="11">
        <f>B6/B5</f>
        <v>1</v>
      </c>
      <c r="C9" s="8"/>
      <c r="D9" s="8"/>
      <c r="E9" s="8"/>
      <c r="F9" s="8"/>
      <c r="G9" s="8"/>
      <c r="H9" s="8"/>
    </row>
    <row r="10" spans="1:8" ht="14.4">
      <c r="A10" s="8"/>
      <c r="B10" s="8"/>
      <c r="C10" s="8"/>
      <c r="D10" s="8"/>
      <c r="E10" s="8"/>
      <c r="F10" s="8"/>
      <c r="G10" s="8"/>
      <c r="H10" s="8"/>
    </row>
    <row r="11" spans="1:8" ht="14.4">
      <c r="A11" s="31" t="s">
        <v>140</v>
      </c>
      <c r="B11" s="31"/>
      <c r="C11" s="31"/>
      <c r="D11" s="31"/>
      <c r="E11" s="31"/>
      <c r="F11" s="31"/>
      <c r="G11" s="31"/>
      <c r="H11" s="31"/>
    </row>
    <row r="12" spans="1:8" ht="28.05" customHeight="1">
      <c r="A12" s="22" t="s">
        <v>141</v>
      </c>
      <c r="B12" s="23"/>
      <c r="C12" s="23"/>
      <c r="D12" s="23"/>
      <c r="E12" s="23"/>
      <c r="F12" s="23"/>
      <c r="G12" s="23"/>
      <c r="H12" s="24"/>
    </row>
    <row r="13" spans="1:8" ht="28.05" customHeight="1">
      <c r="A13" s="25"/>
      <c r="B13" s="26"/>
      <c r="C13" s="26"/>
      <c r="D13" s="26"/>
      <c r="E13" s="26"/>
      <c r="F13" s="26"/>
      <c r="G13" s="26"/>
      <c r="H13" s="27"/>
    </row>
    <row r="14" spans="1:8" ht="28.05" customHeight="1">
      <c r="A14" s="28"/>
      <c r="B14" s="29"/>
      <c r="C14" s="29"/>
      <c r="D14" s="29"/>
      <c r="E14" s="29"/>
      <c r="F14" s="29"/>
      <c r="G14" s="29"/>
      <c r="H14" s="30"/>
    </row>
    <row r="15" spans="1:8" ht="14.4">
      <c r="A15" s="8"/>
      <c r="B15" s="8"/>
      <c r="C15" s="8"/>
      <c r="D15" s="8"/>
      <c r="E15" s="8"/>
      <c r="F15" s="8"/>
      <c r="G15" s="8"/>
      <c r="H15" s="8"/>
    </row>
    <row r="16" spans="1:8" ht="14.4">
      <c r="A16" s="31" t="s">
        <v>142</v>
      </c>
      <c r="B16" s="31"/>
      <c r="C16" s="31"/>
      <c r="D16" s="31"/>
      <c r="E16" s="31"/>
      <c r="F16" s="31"/>
      <c r="G16" s="31"/>
      <c r="H16" s="31"/>
    </row>
    <row r="17" spans="1:8" ht="28.05" customHeight="1">
      <c r="A17" s="32" t="s">
        <v>143</v>
      </c>
      <c r="B17" s="33"/>
      <c r="C17" s="33"/>
      <c r="D17" s="33"/>
      <c r="E17" s="33"/>
      <c r="F17" s="33"/>
      <c r="G17" s="33"/>
      <c r="H17" s="34"/>
    </row>
    <row r="18" spans="1:8" ht="28.05" customHeight="1">
      <c r="A18" s="35"/>
      <c r="B18" s="36"/>
      <c r="C18" s="36"/>
      <c r="D18" s="36"/>
      <c r="E18" s="36"/>
      <c r="F18" s="36"/>
      <c r="G18" s="36"/>
      <c r="H18" s="37"/>
    </row>
    <row r="19" spans="1:8" ht="28.05" customHeight="1">
      <c r="A19" s="35"/>
      <c r="B19" s="36"/>
      <c r="C19" s="36"/>
      <c r="D19" s="36"/>
      <c r="E19" s="36"/>
      <c r="F19" s="36"/>
      <c r="G19" s="36"/>
      <c r="H19" s="37"/>
    </row>
    <row r="20" spans="1:8" ht="28.05" customHeight="1">
      <c r="A20" s="38"/>
      <c r="B20" s="39"/>
      <c r="C20" s="39"/>
      <c r="D20" s="39"/>
      <c r="E20" s="39"/>
      <c r="F20" s="39"/>
      <c r="G20" s="39"/>
      <c r="H20" s="40"/>
    </row>
  </sheetData>
  <mergeCells count="8">
    <mergeCell ref="A12:H14"/>
    <mergeCell ref="A16:H16"/>
    <mergeCell ref="A17:H20"/>
    <mergeCell ref="A1:H1"/>
    <mergeCell ref="A2:H2"/>
    <mergeCell ref="A4:B4"/>
    <mergeCell ref="D4:E4"/>
    <mergeCell ref="A11: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showGridLines="0" workbookViewId="0"/>
  </sheetViews>
  <sheetFormatPr defaultRowHeight="13.8"/>
  <cols>
    <col min="1" max="1" width="18" customWidth="1"/>
    <col min="2" max="2" width="24" customWidth="1"/>
    <col min="3" max="3" width="48" customWidth="1"/>
    <col min="4" max="4" width="52" customWidth="1"/>
  </cols>
  <sheetData>
    <row r="1" spans="1:4" ht="21">
      <c r="A1" s="52" t="s">
        <v>144</v>
      </c>
      <c r="B1" s="52"/>
      <c r="C1" s="52"/>
      <c r="D1" s="52"/>
    </row>
    <row r="3" spans="1:4">
      <c r="A3" s="12" t="s">
        <v>145</v>
      </c>
      <c r="B3" s="12" t="s">
        <v>146</v>
      </c>
      <c r="C3" s="12" t="s">
        <v>147</v>
      </c>
      <c r="D3" s="12" t="s">
        <v>148</v>
      </c>
    </row>
    <row r="4" spans="1:4" ht="55.95" customHeight="1">
      <c r="A4" s="16" t="s">
        <v>149</v>
      </c>
      <c r="B4" s="17" t="s">
        <v>150</v>
      </c>
      <c r="C4" s="13" t="s">
        <v>151</v>
      </c>
      <c r="D4" s="13" t="s">
        <v>152</v>
      </c>
    </row>
    <row r="5" spans="1:4" ht="55.95" customHeight="1">
      <c r="A5" s="18" t="s">
        <v>13</v>
      </c>
      <c r="B5" s="19" t="s">
        <v>34</v>
      </c>
      <c r="C5" s="14" t="s">
        <v>153</v>
      </c>
      <c r="D5" s="14" t="s">
        <v>154</v>
      </c>
    </row>
    <row r="6" spans="1:4" ht="55.95" customHeight="1">
      <c r="A6" s="18" t="s">
        <v>13</v>
      </c>
      <c r="B6" s="19" t="s">
        <v>24</v>
      </c>
      <c r="C6" s="14" t="s">
        <v>155</v>
      </c>
      <c r="D6" s="14" t="s">
        <v>156</v>
      </c>
    </row>
    <row r="7" spans="1:4" ht="55.95" customHeight="1">
      <c r="A7" s="18" t="s">
        <v>13</v>
      </c>
      <c r="B7" s="19" t="s">
        <v>90</v>
      </c>
      <c r="C7" s="14" t="s">
        <v>157</v>
      </c>
      <c r="D7" s="14" t="s">
        <v>158</v>
      </c>
    </row>
    <row r="8" spans="1:4" ht="55.95" customHeight="1">
      <c r="A8" s="18" t="s">
        <v>9</v>
      </c>
      <c r="B8" s="19" t="s">
        <v>159</v>
      </c>
      <c r="C8" s="14" t="s">
        <v>160</v>
      </c>
      <c r="D8" s="14" t="s">
        <v>161</v>
      </c>
    </row>
    <row r="9" spans="1:4" ht="55.95" customHeight="1">
      <c r="A9" s="18" t="s">
        <v>9</v>
      </c>
      <c r="B9" s="19" t="s">
        <v>162</v>
      </c>
      <c r="C9" s="14" t="s">
        <v>163</v>
      </c>
      <c r="D9" s="14" t="s">
        <v>164</v>
      </c>
    </row>
    <row r="10" spans="1:4" ht="55.95" customHeight="1">
      <c r="A10" s="18" t="s">
        <v>165</v>
      </c>
      <c r="B10" s="19" t="s">
        <v>166</v>
      </c>
      <c r="C10" s="14" t="s">
        <v>167</v>
      </c>
      <c r="D10" s="14" t="s">
        <v>168</v>
      </c>
    </row>
    <row r="11" spans="1:4" ht="55.95" customHeight="1">
      <c r="A11" s="18" t="s">
        <v>165</v>
      </c>
      <c r="B11" s="19" t="s">
        <v>169</v>
      </c>
      <c r="C11" s="14" t="s">
        <v>170</v>
      </c>
      <c r="D11" s="14" t="s">
        <v>171</v>
      </c>
    </row>
    <row r="12" spans="1:4" ht="55.95" customHeight="1">
      <c r="A12" s="18" t="s">
        <v>165</v>
      </c>
      <c r="B12" s="19" t="s">
        <v>172</v>
      </c>
      <c r="C12" s="14" t="s">
        <v>173</v>
      </c>
      <c r="D12" s="14" t="s">
        <v>174</v>
      </c>
    </row>
    <row r="13" spans="1:4" ht="55.95" customHeight="1">
      <c r="A13" s="18" t="s">
        <v>175</v>
      </c>
      <c r="B13" s="19" t="s">
        <v>176</v>
      </c>
      <c r="C13" s="14" t="s">
        <v>177</v>
      </c>
      <c r="D13" s="14" t="s">
        <v>178</v>
      </c>
    </row>
    <row r="14" spans="1:4" ht="55.95" customHeight="1">
      <c r="A14" s="18" t="s">
        <v>175</v>
      </c>
      <c r="B14" s="19" t="s">
        <v>179</v>
      </c>
      <c r="C14" s="14" t="s">
        <v>180</v>
      </c>
      <c r="D14" s="14" t="s">
        <v>181</v>
      </c>
    </row>
    <row r="15" spans="1:4" ht="55.95" customHeight="1">
      <c r="A15" s="20" t="s">
        <v>182</v>
      </c>
      <c r="B15" s="21" t="s">
        <v>183</v>
      </c>
      <c r="C15" s="15" t="s">
        <v>184</v>
      </c>
      <c r="D15" s="15" t="s">
        <v>185</v>
      </c>
    </row>
  </sheetData>
  <mergeCells count="1">
    <mergeCell ref="A1:D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Risk-Control Matrix</vt:lpstr>
      <vt:lpstr>Test Summary</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Mai.H.H Nguyen</cp:lastModifiedBy>
  <dcterms:modified xsi:type="dcterms:W3CDTF">2026-08-21T03:41:57Z</dcterms:modified>
</cp:coreProperties>
</file>